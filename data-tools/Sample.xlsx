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activeTab="1"/>
  </bookViews>
  <sheets>
    <sheet name="Buenaflor1" sheetId="1" r:id="rId1"/>
    <sheet name="Buenaflor2" sheetId="2" r:id="rId2"/>
    <sheet name="Buenaflor3" sheetId="3" r:id="rId3"/>
    <sheet name="Buenaflor 4" sheetId="4" r:id="rId4"/>
    <sheet name="Buenaflor 5" sheetId="5" r:id="rId5"/>
    <sheet name="Buenaflor 6" sheetId="6" r:id="rId6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9" i="3"/>
  <c r="J20" i="2"/>
  <c r="J19"/>
  <c r="J48"/>
  <c r="K14" i="1"/>
  <c r="K22"/>
  <c r="J5" i="4"/>
  <c r="J77" i="2"/>
  <c r="J81" i="5"/>
  <c r="K16" i="3"/>
  <c r="J30" i="2"/>
  <c r="J120" i="5"/>
  <c r="K17" i="1"/>
  <c r="J57" i="2"/>
  <c r="J56"/>
  <c r="J2" i="6"/>
  <c r="J4" i="4"/>
  <c r="K7" i="3"/>
  <c r="J8" i="2"/>
  <c r="K25" i="3"/>
  <c r="J22" i="2" l="1"/>
  <c r="J6" i="4"/>
  <c r="K18" i="3" l="1"/>
  <c r="K27"/>
  <c r="K26"/>
  <c r="J75" i="5"/>
  <c r="K46" i="3" l="1"/>
  <c r="J12" i="4"/>
  <c r="K44" i="3"/>
  <c r="K5"/>
  <c r="J37" i="2"/>
  <c r="J24"/>
  <c r="K8" i="1"/>
  <c r="K21"/>
  <c r="J17" i="2"/>
  <c r="K21" i="3"/>
  <c r="K47"/>
  <c r="K94"/>
  <c r="J43" i="2"/>
  <c r="K37" i="3"/>
  <c r="J17" i="4"/>
  <c r="K20" i="3"/>
  <c r="K32"/>
  <c r="K31"/>
  <c r="J3" i="4"/>
  <c r="J14" i="2"/>
  <c r="K8" i="3"/>
  <c r="J40" i="2"/>
  <c r="K58" i="3" l="1"/>
  <c r="K10"/>
  <c r="K36"/>
  <c r="J76" i="2"/>
  <c r="J14" i="4"/>
  <c r="J10" i="2" l="1"/>
  <c r="J74"/>
  <c r="J8" i="4"/>
  <c r="K22" i="3"/>
  <c r="K48" l="1"/>
  <c r="K38"/>
  <c r="K4"/>
  <c r="K4" i="1" l="1"/>
  <c r="J104" i="2"/>
  <c r="J18" l="1"/>
  <c r="K23" i="3"/>
  <c r="K13"/>
  <c r="J132" i="5"/>
  <c r="J23" i="4" l="1"/>
  <c r="K3" i="3"/>
  <c r="I143" i="5" l="1"/>
  <c r="J143" s="1"/>
  <c r="I142"/>
  <c r="J142" s="1"/>
  <c r="J137"/>
  <c r="J136"/>
  <c r="J135"/>
  <c r="J131"/>
  <c r="I130"/>
  <c r="J130" s="1"/>
  <c r="I129"/>
  <c r="J129" s="1"/>
  <c r="J121"/>
  <c r="J118"/>
  <c r="J113"/>
  <c r="J112"/>
  <c r="J109"/>
  <c r="J108"/>
  <c r="J106"/>
  <c r="J105"/>
  <c r="J104"/>
  <c r="J103"/>
  <c r="J101"/>
  <c r="J99"/>
  <c r="J98"/>
  <c r="J97"/>
  <c r="J96"/>
  <c r="J94"/>
  <c r="J91"/>
  <c r="J90"/>
  <c r="I89"/>
  <c r="J89" s="1"/>
  <c r="J87"/>
  <c r="J86"/>
  <c r="J85"/>
  <c r="I84"/>
  <c r="J84" s="1"/>
  <c r="J83"/>
  <c r="J82"/>
  <c r="J80"/>
  <c r="J79"/>
  <c r="I79" s="1"/>
  <c r="J78"/>
  <c r="J77"/>
  <c r="J76"/>
  <c r="I76" s="1"/>
  <c r="J74"/>
  <c r="J73"/>
  <c r="J72"/>
  <c r="J71"/>
  <c r="J70"/>
  <c r="J69"/>
  <c r="J68"/>
  <c r="J67"/>
  <c r="J66"/>
  <c r="J65"/>
  <c r="J63"/>
  <c r="J62"/>
  <c r="J61"/>
  <c r="J59"/>
  <c r="I58"/>
  <c r="J58" s="1"/>
  <c r="J57"/>
  <c r="J56"/>
  <c r="I55"/>
  <c r="J55" s="1"/>
  <c r="J54"/>
  <c r="J53"/>
  <c r="J52"/>
  <c r="J51"/>
  <c r="J50"/>
  <c r="I49"/>
  <c r="J49" s="1"/>
  <c r="J47"/>
  <c r="J43"/>
  <c r="J42"/>
  <c r="J41"/>
  <c r="J40"/>
  <c r="J38"/>
  <c r="J37"/>
  <c r="J36"/>
  <c r="J35"/>
  <c r="J34"/>
  <c r="J33"/>
  <c r="J32"/>
  <c r="J29"/>
  <c r="J28"/>
  <c r="J27"/>
  <c r="I25"/>
  <c r="J25" s="1"/>
  <c r="J23"/>
  <c r="J22"/>
  <c r="J20"/>
  <c r="I19"/>
  <c r="J19" s="1"/>
  <c r="J15"/>
  <c r="I14"/>
  <c r="J14" s="1"/>
  <c r="J13"/>
  <c r="J12"/>
  <c r="J10"/>
  <c r="I9"/>
  <c r="J9" s="1"/>
  <c r="J6"/>
  <c r="J35" i="4"/>
  <c r="J31"/>
  <c r="J30"/>
  <c r="J29"/>
  <c r="J28"/>
  <c r="J27"/>
  <c r="J24"/>
  <c r="J22"/>
  <c r="I19"/>
  <c r="H19"/>
  <c r="J18"/>
  <c r="J16"/>
  <c r="J15"/>
  <c r="J13"/>
  <c r="J11"/>
  <c r="J10"/>
  <c r="J9"/>
  <c r="J7"/>
  <c r="J2"/>
  <c r="J19" s="1"/>
  <c r="K95" i="3"/>
  <c r="K93"/>
  <c r="K92"/>
  <c r="K91"/>
  <c r="K90"/>
  <c r="K89"/>
  <c r="K88"/>
  <c r="K87"/>
  <c r="K86"/>
  <c r="K85"/>
  <c r="K84"/>
  <c r="K83"/>
  <c r="K82"/>
  <c r="K81"/>
  <c r="K80"/>
  <c r="K79"/>
  <c r="K78"/>
  <c r="K75"/>
  <c r="K74"/>
  <c r="K73"/>
  <c r="K72"/>
  <c r="K68"/>
  <c r="K67"/>
  <c r="K66"/>
  <c r="K64"/>
  <c r="K63"/>
  <c r="K57"/>
  <c r="K56"/>
  <c r="K55"/>
  <c r="K49"/>
  <c r="K45"/>
  <c r="K43"/>
  <c r="K42"/>
  <c r="K40"/>
  <c r="K39"/>
  <c r="K35"/>
  <c r="K34"/>
  <c r="K33"/>
  <c r="K30"/>
  <c r="K29"/>
  <c r="K28"/>
  <c r="K24"/>
  <c r="K59"/>
  <c r="K17"/>
  <c r="K15"/>
  <c r="K14"/>
  <c r="K12"/>
  <c r="K11"/>
  <c r="K9"/>
  <c r="K6"/>
  <c r="J103" i="2"/>
  <c r="J102"/>
  <c r="J101"/>
  <c r="J100"/>
  <c r="J99"/>
  <c r="J98"/>
  <c r="J97"/>
  <c r="J96"/>
  <c r="J95"/>
  <c r="J94"/>
  <c r="J91"/>
  <c r="J90"/>
  <c r="J89"/>
  <c r="J88"/>
  <c r="J87"/>
  <c r="J86"/>
  <c r="J85"/>
  <c r="J82"/>
  <c r="J81"/>
  <c r="J80"/>
  <c r="J73"/>
  <c r="J72"/>
  <c r="J71"/>
  <c r="J70"/>
  <c r="J69"/>
  <c r="J68"/>
  <c r="J67"/>
  <c r="J66"/>
  <c r="J59"/>
  <c r="J58"/>
  <c r="J55"/>
  <c r="J54"/>
  <c r="J53"/>
  <c r="J52"/>
  <c r="J51"/>
  <c r="J50"/>
  <c r="J49"/>
  <c r="J47"/>
  <c r="J46"/>
  <c r="J45"/>
  <c r="J44"/>
  <c r="J42"/>
  <c r="J41"/>
  <c r="J39"/>
  <c r="J38"/>
  <c r="J36"/>
  <c r="J35"/>
  <c r="J34"/>
  <c r="J33"/>
  <c r="J32"/>
  <c r="J29"/>
  <c r="J28"/>
  <c r="J27"/>
  <c r="J26"/>
  <c r="J25"/>
  <c r="J23"/>
  <c r="J21"/>
  <c r="J16"/>
  <c r="J15"/>
  <c r="J13"/>
  <c r="J12"/>
  <c r="J11"/>
  <c r="J75"/>
  <c r="J9"/>
  <c r="J7"/>
  <c r="J6"/>
  <c r="J5"/>
  <c r="J4"/>
  <c r="J3"/>
  <c r="J2"/>
  <c r="K58" i="1"/>
  <c r="K57"/>
  <c r="K56"/>
  <c r="K51"/>
  <c r="K50"/>
  <c r="K49"/>
  <c r="K46"/>
  <c r="K45"/>
  <c r="K44"/>
  <c r="K43"/>
  <c r="K42"/>
  <c r="K41"/>
  <c r="K37"/>
  <c r="K36"/>
  <c r="K35"/>
  <c r="J31"/>
  <c r="I31"/>
  <c r="K30"/>
  <c r="K28"/>
  <c r="K27"/>
  <c r="K26"/>
  <c r="K25"/>
  <c r="K24"/>
  <c r="K23"/>
  <c r="K20"/>
  <c r="K19"/>
  <c r="K18"/>
  <c r="K16"/>
  <c r="K31" s="1"/>
  <c r="K15"/>
  <c r="K13"/>
  <c r="K12"/>
  <c r="K11"/>
  <c r="K52"/>
  <c r="K10"/>
  <c r="K9"/>
  <c r="K7"/>
  <c r="K6"/>
  <c r="K5"/>
  <c r="K50" i="3" l="1"/>
  <c r="I123" i="5"/>
  <c r="H123"/>
  <c r="J60" i="2"/>
  <c r="I60"/>
  <c r="H60"/>
  <c r="I50" i="3"/>
  <c r="J50"/>
  <c r="J123" i="5"/>
  <c r="K123"/>
</calcChain>
</file>

<file path=xl/comments1.xml><?xml version="1.0" encoding="utf-8"?>
<comments xmlns="http://schemas.openxmlformats.org/spreadsheetml/2006/main">
  <authors>
    <author>GIGABYTE</author>
  </authors>
  <commentList>
    <comment ref="I22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280,400 original lot price for 2 yrs.</t>
        </r>
      </text>
    </comment>
  </commentList>
</comments>
</file>

<file path=xl/comments2.xml><?xml version="1.0" encoding="utf-8"?>
<comments xmlns="http://schemas.openxmlformats.org/spreadsheetml/2006/main">
  <authors>
    <author>GIGABYTE</author>
  </authors>
  <commentList>
    <comment ref="AG22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month of November 2025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150,000 for 6 mos. 100 sqm.</t>
        </r>
      </text>
    </comment>
    <comment ref="D44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for assume</t>
        </r>
      </text>
    </comment>
    <comment ref="D52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Change name from Ricardo Quinto Jr. to Maryelle Quinto Dela Peña</t>
        </r>
      </text>
    </comment>
  </commentList>
</comments>
</file>

<file path=xl/comments3.xml><?xml version="1.0" encoding="utf-8"?>
<comments xmlns="http://schemas.openxmlformats.org/spreadsheetml/2006/main">
  <authors>
    <author>GIGABYTE</author>
  </authors>
  <commentList>
    <comment ref="AD13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Henie Bigkog commission 5%</t>
        </r>
      </text>
    </comment>
  </commentList>
</comments>
</file>

<file path=xl/comments4.xml><?xml version="1.0" encoding="utf-8"?>
<comments xmlns="http://schemas.openxmlformats.org/spreadsheetml/2006/main">
  <authors>
    <author>GIGABYTE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GIGABYTE:</t>
        </r>
        <r>
          <rPr>
            <sz val="9"/>
            <color indexed="81"/>
            <rFont val="Tahoma"/>
            <family val="2"/>
          </rPr>
          <t xml:space="preserve">
Janet 2%
Bigkog 5%</t>
        </r>
      </text>
    </comment>
  </commentList>
</comments>
</file>

<file path=xl/sharedStrings.xml><?xml version="1.0" encoding="utf-8"?>
<sst xmlns="http://schemas.openxmlformats.org/spreadsheetml/2006/main" count="1526" uniqueCount="717">
  <si>
    <t>DATE PAID</t>
  </si>
  <si>
    <t>NAME</t>
  </si>
  <si>
    <t>%</t>
  </si>
  <si>
    <t>SQM</t>
  </si>
  <si>
    <t>DICER</t>
  </si>
  <si>
    <t>BLK</t>
  </si>
  <si>
    <t>LOT</t>
  </si>
  <si>
    <t>CP NO.</t>
  </si>
  <si>
    <t>LP</t>
  </si>
  <si>
    <t>DP</t>
  </si>
  <si>
    <t>BAL</t>
  </si>
  <si>
    <t>MONTHLY</t>
  </si>
  <si>
    <t>TERMS</t>
  </si>
  <si>
    <t xml:space="preserve">Alido, Jessica </t>
  </si>
  <si>
    <t>Vern</t>
  </si>
  <si>
    <t>-</t>
  </si>
  <si>
    <t>CASH</t>
  </si>
  <si>
    <t>DAS</t>
  </si>
  <si>
    <t>5/13/2020</t>
  </si>
  <si>
    <t>Are, Rosalie</t>
  </si>
  <si>
    <t>Janet</t>
  </si>
  <si>
    <t>5 yrs</t>
  </si>
  <si>
    <t>katungal b p2</t>
  </si>
  <si>
    <t>Atoc, Glory Jean Modato</t>
  </si>
  <si>
    <t>5(full)</t>
  </si>
  <si>
    <t>Darlyn</t>
  </si>
  <si>
    <t>DCS</t>
  </si>
  <si>
    <t>5/15/2020</t>
  </si>
  <si>
    <t>Baldeo, Michael John D</t>
  </si>
  <si>
    <t>Karen</t>
  </si>
  <si>
    <t>2 yrs</t>
  </si>
  <si>
    <t>montilla</t>
  </si>
  <si>
    <t>Barroga, Ivan T</t>
  </si>
  <si>
    <t>Honey</t>
  </si>
  <si>
    <t>3/31/2022</t>
  </si>
  <si>
    <t>3/20/2020</t>
  </si>
  <si>
    <t>Dar, Hannah Avila (Nitor, Roy Archie)</t>
  </si>
  <si>
    <t>De Guzman,Jean(Agduma, Baimon)</t>
  </si>
  <si>
    <t>Joy</t>
  </si>
  <si>
    <t>Diwaten, Michell L</t>
  </si>
  <si>
    <t>Marciano</t>
  </si>
  <si>
    <t>13,14</t>
  </si>
  <si>
    <t>Gamboa, Rufina L</t>
  </si>
  <si>
    <t>Jiselle C</t>
  </si>
  <si>
    <t xml:space="preserve">Garcia, Anna Rose Book </t>
  </si>
  <si>
    <t>Grospe, Francis Ian</t>
  </si>
  <si>
    <t>Lolita Grsope</t>
  </si>
  <si>
    <t>salayog</t>
  </si>
  <si>
    <t>Johnson, Norelyn Calwag</t>
  </si>
  <si>
    <t xml:space="preserve">                           </t>
  </si>
  <si>
    <t>2 yrs-Apr 2022</t>
  </si>
  <si>
    <t>Hifarva,Shirly Gorospe</t>
  </si>
  <si>
    <t>Office</t>
  </si>
  <si>
    <t>2 YRS</t>
  </si>
  <si>
    <t>Israel, Irham Bonga(Pendatun, Edison)</t>
  </si>
  <si>
    <t>Sepi</t>
  </si>
  <si>
    <t>Lavalle, Lenafe D</t>
  </si>
  <si>
    <t>Mylyn</t>
  </si>
  <si>
    <t>5841/sm</t>
  </si>
  <si>
    <t>3 yrs</t>
  </si>
  <si>
    <t>tina payment</t>
  </si>
  <si>
    <t>Lumantas, Airen Marie (Binas, Jasper)</t>
  </si>
  <si>
    <t>Nikka</t>
  </si>
  <si>
    <t>dcs</t>
  </si>
  <si>
    <t>calean c</t>
  </si>
  <si>
    <t>Macote, Marina/Cheresh</t>
  </si>
  <si>
    <t>1 YR</t>
  </si>
  <si>
    <t>from Sukelco</t>
  </si>
  <si>
    <t>Magracia,Imarie A.</t>
  </si>
  <si>
    <t>3 YRS</t>
  </si>
  <si>
    <t>new carmen</t>
  </si>
  <si>
    <t>Dec.2023</t>
  </si>
  <si>
    <t>Marcos, Aiko M</t>
  </si>
  <si>
    <t>Vivian E</t>
  </si>
  <si>
    <t>Dumago,Marilyn</t>
  </si>
  <si>
    <t>Maulana,Norlis Abdul</t>
  </si>
  <si>
    <t>Nandal, Warda Pendatun</t>
  </si>
  <si>
    <t>9,10</t>
  </si>
  <si>
    <t>2 YEARS</t>
  </si>
  <si>
    <t>SPA</t>
  </si>
  <si>
    <t>Sagabain,Degkig M.</t>
  </si>
  <si>
    <t>Solano, Pia Rose</t>
  </si>
  <si>
    <t>Rudny</t>
  </si>
  <si>
    <t>buenaflor p2</t>
  </si>
  <si>
    <t>Tonog, Glenn Vincent</t>
  </si>
  <si>
    <t>100(200)</t>
  </si>
  <si>
    <t>5,841/sm</t>
  </si>
  <si>
    <t>Vingno, Judith/Editha Corpuz</t>
  </si>
  <si>
    <t>Volante, Ingrid/Irish</t>
  </si>
  <si>
    <t>BACK OUT</t>
  </si>
  <si>
    <t>Cortez, Ma. Sally C</t>
  </si>
  <si>
    <t>REFUNDED</t>
  </si>
  <si>
    <t>Anceno, Roxanne C</t>
  </si>
  <si>
    <t>REFUNDED - 4/13/2021 - 27,500</t>
  </si>
  <si>
    <t>Labrador, Rosemarie S</t>
  </si>
  <si>
    <t>Alfred</t>
  </si>
  <si>
    <t>REFUNDED - 9/7/2021 - 4,400 + DCS 600</t>
  </si>
  <si>
    <t>Ang, Zandro</t>
  </si>
  <si>
    <t>Sepi/Fedoc</t>
  </si>
  <si>
    <t>REFUNDED - 7/8/2021 - 2,500</t>
  </si>
  <si>
    <t>FULL REFUND</t>
  </si>
  <si>
    <t>ASSUMED BY</t>
  </si>
  <si>
    <t>Bacero, Ryan A</t>
  </si>
  <si>
    <t>TONOG</t>
  </si>
  <si>
    <t>REFUNDED 1/29/2021-8,000</t>
  </si>
  <si>
    <t>Dumago, Alania Leilanie</t>
  </si>
  <si>
    <t>REFUNDED 2/2/2021-67,000</t>
  </si>
  <si>
    <t>Buenaflor p5</t>
  </si>
  <si>
    <t>Delgado, Rizza</t>
  </si>
  <si>
    <t>Lyn Catriz</t>
  </si>
  <si>
    <t>Refund-11/10/2022-10,000</t>
  </si>
  <si>
    <t>Sagabain, Degkig M</t>
  </si>
  <si>
    <t>Assumed by:Magracia,I.</t>
  </si>
  <si>
    <t>Damian, Bobby L</t>
  </si>
  <si>
    <t xml:space="preserve">Assumed by: Langcap,Monyr Nawal </t>
  </si>
  <si>
    <t>Endal,Clinton</t>
  </si>
  <si>
    <t>50% refunded:10,000(9/9/2024)</t>
  </si>
  <si>
    <t>TRANSFERRED ACCOUNTS</t>
  </si>
  <si>
    <t>Sarreno, Ronald Eleria</t>
  </si>
  <si>
    <t>TO  KALAWAG 3</t>
  </si>
  <si>
    <t>Satorre, Clariza</t>
  </si>
  <si>
    <t>Sanny</t>
  </si>
  <si>
    <t>TO BUENAFLOR P2</t>
  </si>
  <si>
    <t xml:space="preserve">Dumago, Marilyn </t>
  </si>
  <si>
    <t>9064549745/9168821295</t>
  </si>
  <si>
    <t xml:space="preserve">das </t>
  </si>
  <si>
    <t>Assumed by; Maulana,Norlis Abdul</t>
  </si>
  <si>
    <t>FORFEITED ACCOUNTS</t>
  </si>
  <si>
    <t>calean a</t>
  </si>
  <si>
    <t>Bansalao, Adelyn</t>
  </si>
  <si>
    <t>Palermo, Vicente P</t>
  </si>
  <si>
    <t>Langcap,Monyr Nawal</t>
  </si>
  <si>
    <t>Linda</t>
  </si>
  <si>
    <t>5 YRS</t>
  </si>
  <si>
    <t>Brenda</t>
  </si>
  <si>
    <t>Aben, Bernadeth</t>
  </si>
  <si>
    <t>10_5(full)</t>
  </si>
  <si>
    <t>lambayong p2</t>
  </si>
  <si>
    <t>Alid, Esmael S</t>
  </si>
  <si>
    <t>Vern/Luz A</t>
  </si>
  <si>
    <t>Apostol, Imelda M</t>
  </si>
  <si>
    <t>6 MOS</t>
  </si>
  <si>
    <t>Vern/Jockey</t>
  </si>
  <si>
    <t>Apostol, Sharleen Dyane C</t>
  </si>
  <si>
    <t>1/8/2021-CASH</t>
  </si>
  <si>
    <t>Maryelle D Peña</t>
  </si>
  <si>
    <t>Azuelo, Jay A</t>
  </si>
  <si>
    <t>Barroquillo, April Chariss H</t>
  </si>
  <si>
    <t>Nhaidy</t>
  </si>
  <si>
    <t>Borres,Elena Mae N.</t>
  </si>
  <si>
    <t>Braza, Rosalie</t>
  </si>
  <si>
    <t>Caigoy,Erna R.</t>
  </si>
  <si>
    <t>Precy</t>
  </si>
  <si>
    <t>Candado, John Regnair</t>
  </si>
  <si>
    <t>150(300)</t>
  </si>
  <si>
    <t>22A</t>
  </si>
  <si>
    <t>Carado, Christine Joy E</t>
  </si>
  <si>
    <t>Castañeda, Grace Ivy</t>
  </si>
  <si>
    <t>Conde, Shayne Durizza A</t>
  </si>
  <si>
    <t>1 yr</t>
  </si>
  <si>
    <t>N. Rizada</t>
  </si>
  <si>
    <t>Dalipe,Carl Dominic/Dela Cruz, Chezter Allan</t>
  </si>
  <si>
    <t>Daquera, Ivy A</t>
  </si>
  <si>
    <t>Mona</t>
  </si>
  <si>
    <t>Dela Cruz, Angelie N</t>
  </si>
  <si>
    <t>100(300)</t>
  </si>
  <si>
    <t>200(300)</t>
  </si>
  <si>
    <t>Diga, Radzma/Razul</t>
  </si>
  <si>
    <t>200x2</t>
  </si>
  <si>
    <t>56,57</t>
  </si>
  <si>
    <t>4 yrs</t>
  </si>
  <si>
    <t>DAS (200sqm)</t>
  </si>
  <si>
    <t>Dulos, Jockey A</t>
  </si>
  <si>
    <t>dulos, mylyn</t>
  </si>
  <si>
    <t>Dumandan,Armour</t>
  </si>
  <si>
    <t>6 YRS</t>
  </si>
  <si>
    <t>Estorque, Ivan B</t>
  </si>
  <si>
    <t>.</t>
  </si>
  <si>
    <t>Aileen Sepi</t>
  </si>
  <si>
    <t>Fran, Maricel</t>
  </si>
  <si>
    <t>6/29/201</t>
  </si>
  <si>
    <t>RK Gonzales</t>
  </si>
  <si>
    <t xml:space="preserve">Flores,Febie </t>
  </si>
  <si>
    <t>Gaban,Norilyn</t>
  </si>
  <si>
    <t>Gaurana, Arshley Xerxes A</t>
  </si>
  <si>
    <t>Gelidon, Louie Jan D</t>
  </si>
  <si>
    <t>G Perez</t>
  </si>
  <si>
    <t>Guarin, Lowela</t>
  </si>
  <si>
    <t>Arlene/Racel</t>
  </si>
  <si>
    <t>Jangad, Marcial M</t>
  </si>
  <si>
    <t>200 (400)</t>
  </si>
  <si>
    <t>Lagrimas, Lalene P</t>
  </si>
  <si>
    <t>ancheta,E/N</t>
  </si>
  <si>
    <t>Laspe, Elaine/Bugarin, Marites</t>
  </si>
  <si>
    <t>Janet/Tonog</t>
  </si>
  <si>
    <t>Laspe, Lourdes B</t>
  </si>
  <si>
    <t>das</t>
  </si>
  <si>
    <t>Katungal A</t>
  </si>
  <si>
    <t>Literal, Mary Grace Agulan</t>
  </si>
  <si>
    <t>Lontiong, Ryan E</t>
  </si>
  <si>
    <t>Lorin, Erlyn Jane O (Amarillo, JV)</t>
  </si>
  <si>
    <t>Jiselle</t>
  </si>
  <si>
    <t>Lorin, Erlyn Jane O.</t>
  </si>
  <si>
    <t>Lucero, Imelda P</t>
  </si>
  <si>
    <t>Lambayong payment</t>
  </si>
  <si>
    <t>Lumawan,Simatar Abdul</t>
  </si>
  <si>
    <t xml:space="preserve">Jhonda </t>
  </si>
  <si>
    <t>Macodi,Mangombra</t>
  </si>
  <si>
    <t>Mangindla, Manny K</t>
  </si>
  <si>
    <t>Sheryl A</t>
  </si>
  <si>
    <t>Molilis, Almira</t>
  </si>
  <si>
    <t>22B</t>
  </si>
  <si>
    <t>Montalvo,Maylyn/Glenn</t>
  </si>
  <si>
    <t>Johnly/Princess</t>
  </si>
  <si>
    <t xml:space="preserve">Morales, Hazel Jane </t>
  </si>
  <si>
    <t>Napii, Nasirin</t>
  </si>
  <si>
    <t>tina p2/aug16</t>
  </si>
  <si>
    <t>Pabilona, Nora/Francis</t>
  </si>
  <si>
    <t>Pamintuan, Ma. Estela J/ Damasco</t>
  </si>
  <si>
    <t xml:space="preserve">Linda </t>
  </si>
  <si>
    <t>Paulino,Maria Theresa S.</t>
  </si>
  <si>
    <t>Michelle A</t>
  </si>
  <si>
    <t>Reluna, Joel P</t>
  </si>
  <si>
    <t>Relunio, Ronald S</t>
  </si>
  <si>
    <t>Glecy (5)/Girly (2)</t>
  </si>
  <si>
    <t>Quilalang, Chita Ea</t>
  </si>
  <si>
    <t>6/22/202</t>
  </si>
  <si>
    <t>Ella DP</t>
  </si>
  <si>
    <t>Saiden,</t>
  </si>
  <si>
    <t>Samadalan, Rehana S</t>
  </si>
  <si>
    <t>Luz</t>
  </si>
  <si>
    <t>Soreño, Aquino T</t>
  </si>
  <si>
    <t>individual title</t>
  </si>
  <si>
    <t>Linda/Jerocel</t>
  </si>
  <si>
    <t>Subrida,Rolan B.</t>
  </si>
  <si>
    <t>Subaldo, Arjay Robert S</t>
  </si>
  <si>
    <t>Johnly</t>
  </si>
  <si>
    <t>Tanael, Melvin S</t>
  </si>
  <si>
    <t>TO NEW ISABELA</t>
  </si>
  <si>
    <t>Marciano/Sacandal</t>
  </si>
  <si>
    <t>Protacio, Victor I Jr</t>
  </si>
  <si>
    <t>TO KATUNGAL B P2</t>
  </si>
  <si>
    <t>Tonog, Arlene/Lorin, Erlyn Jane</t>
  </si>
  <si>
    <t>TO BUENAFLOR P1</t>
  </si>
  <si>
    <t>Ancheta, Estella/Nikka</t>
  </si>
  <si>
    <t>TO LASPE, ELAINE/BUGARIN, MARITES</t>
  </si>
  <si>
    <t>sukelco</t>
  </si>
  <si>
    <t>Coyoca, Reann Claire</t>
  </si>
  <si>
    <t>Darlyn/Jaro</t>
  </si>
  <si>
    <t>Matanoy, Kristine Joy Doce</t>
  </si>
  <si>
    <t xml:space="preserve">   TO NARCILLA, CRISTY </t>
  </si>
  <si>
    <t>Nov.2024</t>
  </si>
  <si>
    <t>transfer to Buenaflor phase 1</t>
  </si>
  <si>
    <t>Linda/Johnda</t>
  </si>
  <si>
    <t>montilla p9</t>
  </si>
  <si>
    <t>Dalamban, Romena M</t>
  </si>
  <si>
    <t>to Buenaflor phase 5</t>
  </si>
  <si>
    <t>Guialo, Rakma</t>
  </si>
  <si>
    <t>transfer to Buenaflor phase 5</t>
  </si>
  <si>
    <t>buenaflor p1</t>
  </si>
  <si>
    <t>transfer to: Buenaflor Phase 1</t>
  </si>
  <si>
    <t>Karen/Yrick</t>
  </si>
  <si>
    <t>Delco, Merrianne G</t>
  </si>
  <si>
    <t>Dequina, Roy D</t>
  </si>
  <si>
    <t>REFUNDED 2/5/2021 - 10,000</t>
  </si>
  <si>
    <t>BACK-OUT</t>
  </si>
  <si>
    <t>Lumambas, Sinumangkay D</t>
  </si>
  <si>
    <t>Fuentes, Jeffrey</t>
  </si>
  <si>
    <t>Sacandal, Datu Yasser Otto</t>
  </si>
  <si>
    <t>Narcilla, Cristy C.</t>
  </si>
  <si>
    <t>Utap, Farhana (Utap,Alvin Sajid B)</t>
  </si>
  <si>
    <t>refunded: 57,050 (12/3/2024)</t>
  </si>
  <si>
    <t>Uminga, Jerry D</t>
  </si>
  <si>
    <t>refunded: 39,700  (12/7/2024)</t>
  </si>
  <si>
    <t>Veron</t>
  </si>
  <si>
    <t>Badajos, Aidelaida Gose</t>
  </si>
  <si>
    <t>FORFEITED</t>
  </si>
  <si>
    <t>Badajos, Johnalyn G</t>
  </si>
  <si>
    <t>Fernandez, Lotty Joy</t>
  </si>
  <si>
    <t>tupi</t>
  </si>
  <si>
    <t>Salazar, Norman M</t>
  </si>
  <si>
    <t>Sanggalang, Geraldine</t>
  </si>
  <si>
    <t>Bergado, Jeffrey</t>
  </si>
  <si>
    <t>Vivian</t>
  </si>
  <si>
    <t>Fuentes, Metcher</t>
  </si>
  <si>
    <t>Mandal, Bairenda S</t>
  </si>
  <si>
    <t>200/c</t>
  </si>
  <si>
    <t>Hadjiesmael,Sahabudin</t>
  </si>
  <si>
    <t>Dilangalen, Sittie Ro-anne S</t>
  </si>
  <si>
    <t>Amy Del Rosario</t>
  </si>
  <si>
    <t>Altura,Erwin/Cristine</t>
  </si>
  <si>
    <t>Amit,Ronald L.</t>
  </si>
  <si>
    <t>Ampang,Sharra Mae</t>
  </si>
  <si>
    <t>from Katungal B</t>
  </si>
  <si>
    <t>Apostol,Jennifer</t>
  </si>
  <si>
    <t>Basanes,Jeffrey</t>
  </si>
  <si>
    <t>4 YRS</t>
  </si>
  <si>
    <t>Berdin, Charie G</t>
  </si>
  <si>
    <t>CASH - 6mos</t>
  </si>
  <si>
    <t>Berdin,Charie G.</t>
  </si>
  <si>
    <t>Naidy</t>
  </si>
  <si>
    <t>Bernaldez,Angislyh</t>
  </si>
  <si>
    <t>Cash</t>
  </si>
  <si>
    <t>Bernasol,Mary Grace N.</t>
  </si>
  <si>
    <t>10YRS/SM</t>
  </si>
  <si>
    <t>Bigkog, Moner Akan</t>
  </si>
  <si>
    <t>3 YRS/SM</t>
  </si>
  <si>
    <t>Bugarin, Marites (Lenchonsito, Linsy)</t>
  </si>
  <si>
    <t>Burgos,Jasmin P.</t>
  </si>
  <si>
    <t>Dela Gracia, John</t>
  </si>
  <si>
    <t>9,700/sm</t>
  </si>
  <si>
    <t>Delos Santos, Ma. Rose Ann D.</t>
  </si>
  <si>
    <t>De Tomas,Jenny Rose Magbanua</t>
  </si>
  <si>
    <t>Agasandra</t>
  </si>
  <si>
    <t>Ebanos,Jeavy Mae/Arroza,Heaven Grace</t>
  </si>
  <si>
    <t>Cabaltica</t>
  </si>
  <si>
    <t>Elisan,Merlina Gabriel</t>
  </si>
  <si>
    <t>office</t>
  </si>
  <si>
    <t>Erquiza, Eduardo Bagayas Jr</t>
  </si>
  <si>
    <t>01/30/2023</t>
  </si>
  <si>
    <t>Flores, Jenie C.</t>
  </si>
  <si>
    <t>100 (200)</t>
  </si>
  <si>
    <t>Janet Agor</t>
  </si>
  <si>
    <t>Fontanilla,Arnel S.</t>
  </si>
  <si>
    <t>HOPE</t>
  </si>
  <si>
    <t>Landamay</t>
  </si>
  <si>
    <t>Horcerada, Honey Grace</t>
  </si>
  <si>
    <t>Opiaza/Vern</t>
  </si>
  <si>
    <t>Hunas, Edelin O.</t>
  </si>
  <si>
    <t>100 (400)</t>
  </si>
  <si>
    <t>OFFICE</t>
  </si>
  <si>
    <t>300 (400)</t>
  </si>
  <si>
    <t>1/9//2024</t>
  </si>
  <si>
    <t>Ignacio, Althea Mae</t>
  </si>
  <si>
    <t>9700/sm</t>
  </si>
  <si>
    <t>Kamid, Manilyn</t>
  </si>
  <si>
    <t>Tina P2</t>
  </si>
  <si>
    <t xml:space="preserve">Lalantacon, Joemar </t>
  </si>
  <si>
    <t>Katungal B</t>
  </si>
  <si>
    <t>Legarda, Reynald S.</t>
  </si>
  <si>
    <t xml:space="preserve">OFFICE </t>
  </si>
  <si>
    <t>montilla p4</t>
  </si>
  <si>
    <t>Mapandala, Sarah B.</t>
  </si>
  <si>
    <t xml:space="preserve"> Warda, Kagui M</t>
  </si>
  <si>
    <t>4B</t>
  </si>
  <si>
    <t>Pareñas, Joy L.</t>
  </si>
  <si>
    <t>18,19</t>
  </si>
  <si>
    <t>Pasaporte, Romelyn</t>
  </si>
  <si>
    <t>17,800 excess payment transfer to Tuan,Eleen Mae</t>
  </si>
  <si>
    <t>Prado, Ian Robert</t>
  </si>
  <si>
    <t>Ramos, Remalyn P.</t>
  </si>
  <si>
    <t>Coloma</t>
  </si>
  <si>
    <t>Razon, Cherry Mae Modesto</t>
  </si>
  <si>
    <t>Honey C.</t>
  </si>
  <si>
    <t>Sendad,Anwar</t>
  </si>
  <si>
    <t xml:space="preserve"> </t>
  </si>
  <si>
    <t>Michelle C.</t>
  </si>
  <si>
    <t>Simpal,Vicky C./Carbonilla,Joy Jacinto</t>
  </si>
  <si>
    <t>2 YRS/SM</t>
  </si>
  <si>
    <t>Linda P./Nuñez</t>
  </si>
  <si>
    <t>Sudio,Alma F.</t>
  </si>
  <si>
    <t>Tuan,Eleen Mae</t>
  </si>
  <si>
    <t>Tantong, Datukong Donde</t>
  </si>
  <si>
    <t>4A</t>
  </si>
  <si>
    <t>Tomias, Joshua Kim</t>
  </si>
  <si>
    <t>TRANSFERRED PAYMENTS</t>
  </si>
  <si>
    <t>Madriaga, Norie B</t>
  </si>
  <si>
    <t>TO BUENAFLOR P4</t>
  </si>
  <si>
    <t>Belotindos, Veronica C</t>
  </si>
  <si>
    <t>TO KAMID, M.</t>
  </si>
  <si>
    <t>REFUNDED - 12/10/21 - 5,000</t>
  </si>
  <si>
    <t>REFUNDED - 01/14/22 - 9,700</t>
  </si>
  <si>
    <t>Daniel,John Rey</t>
  </si>
  <si>
    <t>3YRS</t>
  </si>
  <si>
    <t>Transfer to Tina Phase 2</t>
  </si>
  <si>
    <t xml:space="preserve">               BACKOUTS </t>
  </si>
  <si>
    <t>Vern/Biñas</t>
  </si>
  <si>
    <t>Onia, Mary Ann R.</t>
  </si>
  <si>
    <t>Sansalona</t>
  </si>
  <si>
    <t>Sansalona, Michael Emba</t>
  </si>
  <si>
    <t>Flores ,Glory Gene A.</t>
  </si>
  <si>
    <t>Refunded 50%(P 4,850)</t>
  </si>
  <si>
    <t>Tabura, Ariane B</t>
  </si>
  <si>
    <t>refunded</t>
  </si>
  <si>
    <t>Sheryl A.</t>
  </si>
  <si>
    <t>Baraguir,Soliman Q.</t>
  </si>
  <si>
    <r>
      <rPr>
        <sz val="10"/>
        <rFont val="Calibri"/>
        <family val="2"/>
        <scheme val="minor"/>
      </rPr>
      <t xml:space="preserve">refunded: </t>
    </r>
    <r>
      <rPr>
        <sz val="10"/>
        <rFont val="Calibri"/>
        <family val="2"/>
      </rPr>
      <t>₱</t>
    </r>
    <r>
      <rPr>
        <sz val="10"/>
        <rFont val="Calibri"/>
        <family val="2"/>
        <scheme val="minor"/>
      </rPr>
      <t>93,000 (2/29/2024)</t>
    </r>
  </si>
  <si>
    <t>Janet/Mary Grace</t>
  </si>
  <si>
    <t>Rellama, Bon Jovi</t>
  </si>
  <si>
    <r>
      <t>refunded:</t>
    </r>
    <r>
      <rPr>
        <sz val="10"/>
        <color theme="1"/>
        <rFont val="Calibri"/>
        <family val="2"/>
      </rPr>
      <t>₱</t>
    </r>
    <r>
      <rPr>
        <sz val="10"/>
        <color theme="1"/>
        <rFont val="Calibri"/>
        <family val="2"/>
        <scheme val="minor"/>
      </rPr>
      <t>14,500 (9/25/2024) 50%</t>
    </r>
  </si>
  <si>
    <t>ASSUMED LOTS/FULL REFUND</t>
  </si>
  <si>
    <t>Cautivar, Ken</t>
  </si>
  <si>
    <t>full refunded (P5,000)</t>
  </si>
  <si>
    <t>Tolentino, Kathleen Charisse B</t>
  </si>
  <si>
    <t>Assumed by:Fontanilla,Arnel</t>
  </si>
  <si>
    <t>refunded 19,400 (7/31/2024)</t>
  </si>
  <si>
    <t>Padernal, Gerld</t>
  </si>
  <si>
    <t>Sherryl A.</t>
  </si>
  <si>
    <t>Paglala,Maribel</t>
  </si>
  <si>
    <t>3  YRS</t>
  </si>
  <si>
    <r>
      <rPr>
        <sz val="10"/>
        <rFont val="Calibri"/>
        <family val="2"/>
        <scheme val="minor"/>
      </rPr>
      <t xml:space="preserve">REFUNDED 06/06/2023 </t>
    </r>
    <r>
      <rPr>
        <sz val="10"/>
        <rFont val="Calibri"/>
        <family val="2"/>
      </rPr>
      <t>₱</t>
    </r>
    <r>
      <rPr>
        <sz val="8.5"/>
        <rFont val="Calibri"/>
        <family val="2"/>
      </rPr>
      <t>15,000</t>
    </r>
  </si>
  <si>
    <t>Aileen</t>
  </si>
  <si>
    <t>Yadao</t>
  </si>
  <si>
    <t>Gabato, Christine Joy C</t>
  </si>
  <si>
    <t>Sandra</t>
  </si>
  <si>
    <t>Asi, Nora A</t>
  </si>
  <si>
    <t>Baher, Josie D.</t>
  </si>
  <si>
    <t>Janet/Simpal</t>
  </si>
  <si>
    <t>Afdal, Bailyn T.</t>
  </si>
  <si>
    <t>Doromal, Aislinn Gwyneth</t>
  </si>
  <si>
    <t>Dansuli</t>
  </si>
  <si>
    <t>Dumato, Sittie Farizza N.</t>
  </si>
  <si>
    <t>Enad, Marineth Seduco</t>
  </si>
  <si>
    <t>Gara, Alifa Hanna C.</t>
  </si>
  <si>
    <t>Simpal, Causar A.</t>
  </si>
  <si>
    <t>Villegas, Dominador</t>
  </si>
  <si>
    <t>Amy Del R.</t>
  </si>
  <si>
    <t>Angelo, Michael Jay</t>
  </si>
  <si>
    <t>Cristine N. Altura</t>
  </si>
  <si>
    <t>Glecy</t>
  </si>
  <si>
    <t>Baganian, Wenalyn</t>
  </si>
  <si>
    <t>1 YR/SM</t>
  </si>
  <si>
    <t>Ollos, Mae Ann G.</t>
  </si>
  <si>
    <t>Quejada,Christine G.</t>
  </si>
  <si>
    <t>Dano,Marites C.</t>
  </si>
  <si>
    <t>6 YRS/SM</t>
  </si>
  <si>
    <t>Banzales, Reynan</t>
  </si>
  <si>
    <t>Abri,Alibai Inok</t>
  </si>
  <si>
    <t>3YRS/SM</t>
  </si>
  <si>
    <t>Malingco,Maeca Belle/Ferrer, Jhonrey</t>
  </si>
  <si>
    <t>MON</t>
  </si>
  <si>
    <t>Arroza, Johnrie Barrios</t>
  </si>
  <si>
    <t>01/31/21023</t>
  </si>
  <si>
    <t>Titling</t>
  </si>
  <si>
    <t>no form</t>
  </si>
  <si>
    <t>Atchuela,Norkisa V.</t>
  </si>
  <si>
    <t>Bancaco,Charlie</t>
  </si>
  <si>
    <t>Hennie Bigkog</t>
  </si>
  <si>
    <t>Bigkog,Rina</t>
  </si>
  <si>
    <t>Camales,Jiza Lou</t>
  </si>
  <si>
    <t>Caños, Jr. D./Janet Caños</t>
  </si>
  <si>
    <t>3 YRS/sm</t>
  </si>
  <si>
    <t>R,Caños</t>
  </si>
  <si>
    <t>Madriaga/Precy</t>
  </si>
  <si>
    <t>Acar, R</t>
  </si>
  <si>
    <t>Dimaya, Czarina B</t>
  </si>
  <si>
    <t>Acar</t>
  </si>
  <si>
    <t>Nicka</t>
  </si>
  <si>
    <t>Dizon, Jorgu Jovita</t>
  </si>
  <si>
    <t>Lasamana, Ruffaida Makalingkang</t>
  </si>
  <si>
    <t>Mungcal, Cherryl</t>
  </si>
  <si>
    <t>Quidilla, Julie Ann</t>
  </si>
  <si>
    <t>Salik,Saidel R.</t>
  </si>
  <si>
    <t>Simbajon,Hazel</t>
  </si>
  <si>
    <t>CASH/2 yrs</t>
  </si>
  <si>
    <t>Madriaga/Office</t>
  </si>
  <si>
    <t>Sumalinog, Ma. Stiffany C</t>
  </si>
  <si>
    <t>Tinio,Jomar C.</t>
  </si>
  <si>
    <t xml:space="preserve">Vergara, Guadalupe </t>
  </si>
  <si>
    <t>ASSUMED LOT AND PAYMENTS</t>
  </si>
  <si>
    <t>Madriaga/Johnly</t>
  </si>
  <si>
    <t>Acar, Rojene B</t>
  </si>
  <si>
    <t>Sgt. Portuito</t>
  </si>
  <si>
    <t>Malana, Floressa Merced E</t>
  </si>
  <si>
    <t>14,866/sm</t>
  </si>
  <si>
    <t>Assumed BY:Bancaco,Charlie</t>
  </si>
  <si>
    <t>refunded 30,000(July 15,2024)</t>
  </si>
  <si>
    <t>refunded:4,000 (10/15/2024)</t>
  </si>
  <si>
    <t>refunded:6,000 (10/30/2024)</t>
  </si>
  <si>
    <t>Bigkog, Hennie M.</t>
  </si>
  <si>
    <t>Assumed by: Rina Bigkog</t>
  </si>
  <si>
    <t xml:space="preserve">                                                            FORFEITED ACCOUNTS</t>
  </si>
  <si>
    <t>Ledesma, Bailyn</t>
  </si>
  <si>
    <t>Mosquera, Jenefer Lyn S.</t>
  </si>
  <si>
    <t>100 (300)</t>
  </si>
  <si>
    <t>Sablay, Evelyn B</t>
  </si>
  <si>
    <t>Canos, Ryan</t>
  </si>
  <si>
    <t>payment transfer to JR Caños</t>
  </si>
  <si>
    <t>BACK OUT  ACCOUNTS</t>
  </si>
  <si>
    <t>Saplaan, Merybeth</t>
  </si>
  <si>
    <t>refunded:70,000(8/17/2024)</t>
  </si>
  <si>
    <t>refunded: 100,000 (9/17/2024)</t>
  </si>
  <si>
    <t>refunded: 55,000(9/19/2024)</t>
  </si>
  <si>
    <t>refunded 125,000 (2/18/2025)</t>
  </si>
  <si>
    <t>refunded 100,000 (3/5/2025)</t>
  </si>
  <si>
    <t>Date Paid</t>
  </si>
  <si>
    <t>TP</t>
  </si>
  <si>
    <t>Ash</t>
  </si>
  <si>
    <t>Adorador,James</t>
  </si>
  <si>
    <t>Adorador,Amy</t>
  </si>
  <si>
    <t>Aguilar,David Jr.</t>
  </si>
  <si>
    <t>Ali,Tarhata  Tamundo</t>
  </si>
  <si>
    <t>Ali,Tahira</t>
  </si>
  <si>
    <t>Linda P.</t>
  </si>
  <si>
    <t>Aliman,Norhaya D.</t>
  </si>
  <si>
    <t>Mark S.</t>
  </si>
  <si>
    <t>Calean B</t>
  </si>
  <si>
    <t>Andaya, Nancy R.</t>
  </si>
  <si>
    <t>Apostol,Jemajo Elizabeth Eder</t>
  </si>
  <si>
    <t>AR</t>
  </si>
  <si>
    <t>Refunded</t>
  </si>
  <si>
    <t>Apostol,Princess Mae</t>
  </si>
  <si>
    <t>Arabit,Jetro S.</t>
  </si>
  <si>
    <t>Araña,Jeoffre  Jr. P.</t>
  </si>
  <si>
    <t>Janet/Walden</t>
  </si>
  <si>
    <r>
      <rPr>
        <sz val="11"/>
        <color theme="1"/>
        <rFont val="Calibri"/>
        <family val="2"/>
        <scheme val="minor"/>
      </rPr>
      <t xml:space="preserve">Arciaga, Andrea May </t>
    </r>
    <r>
      <rPr>
        <sz val="8"/>
        <color theme="1"/>
        <rFont val="Calibri"/>
        <family val="2"/>
        <scheme val="minor"/>
      </rPr>
      <t>(Caniel, Jenelyn B.)</t>
    </r>
  </si>
  <si>
    <t>Are,Joyssel Ashley</t>
  </si>
  <si>
    <t>no date</t>
  </si>
  <si>
    <t>Arquio,Jasper</t>
  </si>
  <si>
    <t>Baclas,Jean</t>
  </si>
  <si>
    <t>Walden</t>
  </si>
  <si>
    <t>Bajon,Arah</t>
  </si>
  <si>
    <t>Bajon, Lorena Botarara</t>
  </si>
  <si>
    <t>Walden/Anne C.</t>
  </si>
  <si>
    <t>Bangquiao,Rodel Uy</t>
  </si>
  <si>
    <t>95,96</t>
  </si>
  <si>
    <t>Batislaong,Lany S.</t>
  </si>
  <si>
    <t>Billones,Rodney Mark</t>
  </si>
  <si>
    <t xml:space="preserve">Biñas,Ghierley </t>
  </si>
  <si>
    <t>Anne C.</t>
  </si>
  <si>
    <t>Bonilla,Eugene III</t>
  </si>
  <si>
    <t>Calizo, Selfa Dumancas</t>
  </si>
  <si>
    <t>Campaan,Romel</t>
  </si>
  <si>
    <t>Candelario,Gavino</t>
  </si>
  <si>
    <t>Caños,Ryan D.</t>
  </si>
  <si>
    <t>400f/400 i</t>
  </si>
  <si>
    <t>15,16,17,18</t>
  </si>
  <si>
    <t>Casiple,Beverly</t>
  </si>
  <si>
    <t>Castillo,Teresa</t>
  </si>
  <si>
    <t>Cataluña,Ricky R.</t>
  </si>
  <si>
    <t>Celiz,Edwin L.</t>
  </si>
  <si>
    <t>Coniega,Evelyn</t>
  </si>
  <si>
    <t>Consabo,Ferlou Well P.</t>
  </si>
  <si>
    <t>open contract</t>
  </si>
  <si>
    <t>Coyoca,Reann Claire</t>
  </si>
  <si>
    <t>Dadivas,Jomelyn</t>
  </si>
  <si>
    <t>Buenaflor p2</t>
  </si>
  <si>
    <t>Dalamban,Romena</t>
  </si>
  <si>
    <t>Jonna Gaspar</t>
  </si>
  <si>
    <t>Dalida,Crisanto</t>
  </si>
  <si>
    <t>Damasco,Irene Rom</t>
  </si>
  <si>
    <t>Dared,Parisa Adam</t>
  </si>
  <si>
    <t>Darjan,Richard E.</t>
  </si>
  <si>
    <t>Darullo,Ronel</t>
  </si>
  <si>
    <t>80,82</t>
  </si>
  <si>
    <t>Defensor,Jueve S.</t>
  </si>
  <si>
    <t>Deke,Nelson J.</t>
  </si>
  <si>
    <t>Delongpongan,Jusop Mar</t>
  </si>
  <si>
    <t>Elisan,Mary Joy</t>
  </si>
  <si>
    <t>Equipado,Benito Jr.</t>
  </si>
  <si>
    <t>4 &amp; 6</t>
  </si>
  <si>
    <t>Farinas, Mary Jean G.</t>
  </si>
  <si>
    <t>01/31/23</t>
  </si>
  <si>
    <t>Joanna Gaspas</t>
  </si>
  <si>
    <t>Fernando,Estelita</t>
  </si>
  <si>
    <t>Fernando,Jun</t>
  </si>
  <si>
    <t>Fernando,Welito</t>
  </si>
  <si>
    <t>Flores,Lito N.</t>
  </si>
  <si>
    <t>Francisco,Julius C.</t>
  </si>
  <si>
    <t>Luz/Sharon Alaza</t>
  </si>
  <si>
    <t>Hermopia, April Ann Jara</t>
  </si>
  <si>
    <t>Gabales,Leli Mae</t>
  </si>
  <si>
    <t>Gabales,Vincent Nicolas</t>
  </si>
  <si>
    <t>Galeno, Medelyn Ignacio</t>
  </si>
  <si>
    <t>111(334)</t>
  </si>
  <si>
    <t xml:space="preserve">6 YRS </t>
  </si>
  <si>
    <t>01/31/2023</t>
  </si>
  <si>
    <t>Gammad,Rodjhon Afdal/Ivy</t>
  </si>
  <si>
    <t>Gandal, Noel Delos Santos</t>
  </si>
  <si>
    <t>Garcia,Edward</t>
  </si>
  <si>
    <t>Gascon,Edna B.</t>
  </si>
  <si>
    <t>Janet/Gerl</t>
  </si>
  <si>
    <t>Gascon,Rona Laine</t>
  </si>
  <si>
    <t>108,107,65,66</t>
  </si>
  <si>
    <t>Gaspar</t>
  </si>
  <si>
    <t>Gaspar, Marvin</t>
  </si>
  <si>
    <t>Guialo,Rakma</t>
  </si>
  <si>
    <t>Lames,Sheila</t>
  </si>
  <si>
    <t xml:space="preserve">Janet </t>
  </si>
  <si>
    <t>Ledesma, Arlyn Galeno</t>
  </si>
  <si>
    <t>52,53,54</t>
  </si>
  <si>
    <t>01/30/23</t>
  </si>
  <si>
    <t>Lumambas,Yasser</t>
  </si>
  <si>
    <t>Linda/Ash</t>
  </si>
  <si>
    <t>Lumawan,Simatar</t>
  </si>
  <si>
    <t>Lumenda,Bai Febraida</t>
  </si>
  <si>
    <t>Macote,Rommel C.</t>
  </si>
  <si>
    <t>Malcontento,Princess Angel</t>
  </si>
  <si>
    <t>60,61,62</t>
  </si>
  <si>
    <t>Mamalangkap,Bai Sarah</t>
  </si>
  <si>
    <t>Mariano,Airishvet</t>
  </si>
  <si>
    <t>Miura,Donadith Joy</t>
  </si>
  <si>
    <t>Montazi,Beljare</t>
  </si>
  <si>
    <t>Monteson,Teddy A.</t>
  </si>
  <si>
    <t>Navarra,Evangeline</t>
  </si>
  <si>
    <t>Niñora,Jane Rose</t>
  </si>
  <si>
    <t>Ofrecio, Juvy R.</t>
  </si>
  <si>
    <t>Ash/Linda</t>
  </si>
  <si>
    <t>Pablo,Antonio/Traqueña,Richelle</t>
  </si>
  <si>
    <t>Paculba,Mary Eden</t>
  </si>
  <si>
    <t>Palcis,Archie Galeno</t>
  </si>
  <si>
    <t>Palmares,Joy</t>
  </si>
  <si>
    <t>Palo,Wharloun C.</t>
  </si>
  <si>
    <t>Paloma,Sheilanie/Mark Daryl</t>
  </si>
  <si>
    <t>montilla p2</t>
  </si>
  <si>
    <t>Pasandalan,Moktar</t>
  </si>
  <si>
    <t>Parantar,Jerald Alcuizar</t>
  </si>
  <si>
    <t>Parcon,Stevelyn Navarro</t>
  </si>
  <si>
    <t>Piang,Jo -Ann Hayna</t>
  </si>
  <si>
    <t>Racsa,Maricel Retialo</t>
  </si>
  <si>
    <t>Retialo,Janet</t>
  </si>
  <si>
    <t>Rodriguez,Suellen Escalera</t>
  </si>
  <si>
    <t>Romero,Joycele</t>
  </si>
  <si>
    <t>Rio,Jolelyn</t>
  </si>
  <si>
    <t>Saducos,John Churchill Gil L.</t>
  </si>
  <si>
    <t>Salmo,Analyn F.</t>
  </si>
  <si>
    <t>Sally,Mariam Sapi</t>
  </si>
  <si>
    <t>Sally,Mina Sapi</t>
  </si>
  <si>
    <t>Sampoling,Sharon Tayco</t>
  </si>
  <si>
    <t>Seguban,Jonalyn/Mark Alvin</t>
  </si>
  <si>
    <t>Seguban,Jonalyn</t>
  </si>
  <si>
    <t>92,94</t>
  </si>
  <si>
    <t>Sentinta,Jomar Apellido</t>
  </si>
  <si>
    <t>Sentinta,Norberto Nicolas</t>
  </si>
  <si>
    <t>Seredica,Charise</t>
  </si>
  <si>
    <t>Seredica,Rannie</t>
  </si>
  <si>
    <t>Gerlie</t>
  </si>
  <si>
    <t>Simon,Shielou C.</t>
  </si>
  <si>
    <t>87,88</t>
  </si>
  <si>
    <t>3 mos.</t>
  </si>
  <si>
    <t>Smith,Shania Chelsea Nono</t>
  </si>
  <si>
    <t>Sodusta,Jheve Defensor</t>
  </si>
  <si>
    <t>Suminda,Norhana</t>
  </si>
  <si>
    <t>Taburnal,Mark Joseph</t>
  </si>
  <si>
    <t>Tagusi,Sonia</t>
  </si>
  <si>
    <t>12,14</t>
  </si>
  <si>
    <t>Tingson,Jailyn</t>
  </si>
  <si>
    <t>Tingson,Shena/Martinez,Rex</t>
  </si>
  <si>
    <t>Torano,Reynald V.</t>
  </si>
  <si>
    <t>Umali,Vanessa Pearl</t>
  </si>
  <si>
    <t>Villapa,Lady Rose</t>
  </si>
  <si>
    <t>Villaraiz,Roldan</t>
  </si>
  <si>
    <t xml:space="preserve">            TRANSFERRED ACCOUNTS</t>
  </si>
  <si>
    <t>TO BUENAFLOR P3</t>
  </si>
  <si>
    <t>Assumed by: Joeffry Galeno Jayawon</t>
  </si>
  <si>
    <t>Galeno,M</t>
  </si>
  <si>
    <t>Jayawon,Joeffry</t>
  </si>
  <si>
    <t>back to Galeno,Medelyn</t>
  </si>
  <si>
    <t>BACKOUT ACCOUNTS</t>
  </si>
  <si>
    <t>Jhonda Abod</t>
  </si>
  <si>
    <t>Eliseo,Analu P.</t>
  </si>
  <si>
    <t>6YRS/SM</t>
  </si>
  <si>
    <t>Procalla,Vilma</t>
  </si>
  <si>
    <t>Sampao</t>
  </si>
  <si>
    <t>Orbita,Raymond</t>
  </si>
  <si>
    <t>FORFEITED ACCT.</t>
  </si>
  <si>
    <t>Bajon, Arah</t>
  </si>
  <si>
    <t>100 (337)</t>
  </si>
  <si>
    <t>Bajon, Rashel Mae</t>
  </si>
  <si>
    <t>individual Title payment</t>
  </si>
  <si>
    <t>refunded 4,600 (5/6/2025)</t>
  </si>
  <si>
    <t>Janet C./Hennie Bigkog</t>
  </si>
  <si>
    <t>Janet/ H. Bigkog</t>
  </si>
  <si>
    <t>transfer to Kalandagan C</t>
  </si>
  <si>
    <t>refunded:  19,400 (6/20/2025)</t>
  </si>
  <si>
    <t>Quinto, Ricardo F Jr/Maryelle Q. Dela Peña</t>
  </si>
  <si>
    <t>Mike A.</t>
  </si>
  <si>
    <t>Gillesania,Ziana Alexa/Julie Gillesania</t>
  </si>
  <si>
    <t>62B</t>
  </si>
  <si>
    <t>Gillesania,Mia Maxine/Julie Gillesania</t>
  </si>
  <si>
    <t>62A</t>
  </si>
  <si>
    <t>7/14/22025</t>
  </si>
  <si>
    <t>Talib,Sulobai</t>
  </si>
  <si>
    <t>Transfer to Kalandagan C</t>
  </si>
  <si>
    <t>Utto,Jonalyn</t>
  </si>
  <si>
    <t>Jiselle C.</t>
  </si>
  <si>
    <t>Gamino,Maricel</t>
  </si>
  <si>
    <t>transfer to Analyn Fontanilla</t>
  </si>
  <si>
    <t>Fontanilla,Analyn</t>
  </si>
  <si>
    <t>Baroga,Maribic</t>
  </si>
  <si>
    <t>spot cash/1 yr</t>
  </si>
  <si>
    <t>Jiselle/Antonio,J.</t>
  </si>
  <si>
    <t>per lot</t>
  </si>
  <si>
    <t>Ceballos,Emmanuel</t>
  </si>
  <si>
    <t>Transfer to:Indong Abdulhak Dumpao</t>
  </si>
  <si>
    <t>Dumpao,Indong Abdulhak</t>
  </si>
  <si>
    <t>E. Erquiza</t>
  </si>
  <si>
    <t>Transfer payment to: San Pablo area (Ampang,Almira)</t>
  </si>
  <si>
    <t>Gayanandang,Zharmine</t>
  </si>
  <si>
    <t>Naidy Menson</t>
  </si>
  <si>
    <t>Dec. 2026</t>
  </si>
  <si>
    <t>6m0s./1 yr</t>
  </si>
  <si>
    <t>Dec.2026</t>
  </si>
  <si>
    <t>Manglicmot, Theresita Jr/Jodonelle Denver Theodore</t>
  </si>
  <si>
    <t>Otto,Guiamalon</t>
  </si>
  <si>
    <t>Menson,Aisa</t>
  </si>
  <si>
    <t>Assumed by: Pareño,Kenneth D.</t>
  </si>
  <si>
    <t>Pareño,Kenneth D.</t>
  </si>
  <si>
    <t>refunded: 20,000 (5/22/2026)</t>
  </si>
  <si>
    <t>6 yrs</t>
  </si>
  <si>
    <t>Gamboa, Shiela Mae/Rufina L</t>
  </si>
  <si>
    <t>transfer of ownership to: Ivan Karl Alido</t>
  </si>
  <si>
    <t>Gamboa</t>
  </si>
  <si>
    <t>Alido,Ivan Karl</t>
  </si>
  <si>
    <t>Diaz,Joan</t>
  </si>
  <si>
    <t>Katungal B P2</t>
  </si>
  <si>
    <t>Vingno,Ernie</t>
  </si>
  <si>
    <t>DATE</t>
  </si>
  <si>
    <t>Contact #</t>
  </si>
  <si>
    <t>PRICE</t>
  </si>
  <si>
    <t>TERM</t>
  </si>
  <si>
    <t>New Carmen</t>
  </si>
  <si>
    <t>Loraña,Rizalyn</t>
  </si>
  <si>
    <t>Kambal, Norhaya/Pana,Samra A.</t>
  </si>
  <si>
    <t>transfer to Kalandagan C  (200sqm.)</t>
  </si>
  <si>
    <t>cash</t>
  </si>
  <si>
    <t>Reah</t>
  </si>
</sst>
</file>

<file path=xl/styles.xml><?xml version="1.0" encoding="utf-8"?>
<styleSheet xmlns="http://schemas.openxmlformats.org/spreadsheetml/2006/main">
  <fonts count="6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7" tint="-0.499984740745262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rgb="FF7030A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3" tint="0.79995117038483843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6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9900"/>
      <name val="Calibri"/>
      <family val="2"/>
      <scheme val="minor"/>
    </font>
    <font>
      <sz val="9"/>
      <name val="Arial"/>
      <family val="2"/>
    </font>
    <font>
      <sz val="10"/>
      <color theme="1" tint="4.9989318521683403E-2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8.5"/>
      <name val="Calibri"/>
      <family val="2"/>
    </font>
    <font>
      <b/>
      <sz val="11"/>
      <color rgb="FF009900"/>
      <name val="Calibri"/>
      <family val="2"/>
      <scheme val="minor"/>
    </font>
    <font>
      <sz val="11"/>
      <color rgb="FF00990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0DD98"/>
        <bgColor indexed="64"/>
      </patternFill>
    </fill>
    <fill>
      <patternFill patternType="solid">
        <fgColor theme="3" tint="0.39951780755027927"/>
        <bgColor indexed="64"/>
      </patternFill>
    </fill>
    <fill>
      <patternFill patternType="solid">
        <fgColor rgb="FFC846C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5178075502792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0.3995178075502792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5788445692312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57D64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29"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center" vertical="center"/>
    </xf>
    <xf numFmtId="0" fontId="23" fillId="2" borderId="0" xfId="0" applyFont="1" applyFill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23" fillId="0" borderId="0" xfId="0" applyNumberFormat="1" applyFont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/>
    </xf>
    <xf numFmtId="0" fontId="18" fillId="5" borderId="0" xfId="0" applyFont="1" applyFill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18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 vertical="center"/>
    </xf>
    <xf numFmtId="3" fontId="22" fillId="6" borderId="0" xfId="0" applyNumberFormat="1" applyFont="1" applyFill="1" applyAlignment="1">
      <alignment horizontal="center" vertical="center"/>
    </xf>
    <xf numFmtId="15" fontId="23" fillId="0" borderId="0" xfId="0" applyNumberFormat="1" applyFont="1" applyAlignment="1">
      <alignment horizontal="center" vertical="center"/>
    </xf>
    <xf numFmtId="3" fontId="24" fillId="4" borderId="0" xfId="0" applyNumberFormat="1" applyFont="1" applyFill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23" fillId="7" borderId="0" xfId="0" applyFont="1" applyFill="1" applyAlignment="1">
      <alignment horizontal="center"/>
    </xf>
    <xf numFmtId="3" fontId="18" fillId="7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 vertical="center"/>
    </xf>
    <xf numFmtId="3" fontId="22" fillId="8" borderId="0" xfId="0" applyNumberFormat="1" applyFont="1" applyFill="1" applyAlignment="1">
      <alignment horizontal="center" vertical="center"/>
    </xf>
    <xf numFmtId="3" fontId="24" fillId="8" borderId="0" xfId="0" applyNumberFormat="1" applyFont="1" applyFill="1" applyAlignment="1">
      <alignment horizontal="center"/>
    </xf>
    <xf numFmtId="14" fontId="18" fillId="4" borderId="0" xfId="0" applyNumberFormat="1" applyFont="1" applyFill="1" applyAlignment="1">
      <alignment horizontal="center"/>
    </xf>
    <xf numFmtId="3" fontId="24" fillId="4" borderId="0" xfId="0" applyNumberFormat="1" applyFont="1" applyFill="1" applyAlignment="1">
      <alignment horizontal="center"/>
    </xf>
    <xf numFmtId="3" fontId="24" fillId="6" borderId="0" xfId="0" applyNumberFormat="1" applyFont="1" applyFill="1" applyAlignment="1">
      <alignment horizontal="center"/>
    </xf>
    <xf numFmtId="3" fontId="25" fillId="6" borderId="0" xfId="0" applyNumberFormat="1" applyFont="1" applyFill="1" applyAlignment="1">
      <alignment horizontal="center"/>
    </xf>
    <xf numFmtId="3" fontId="18" fillId="6" borderId="0" xfId="0" applyNumberFormat="1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3" fontId="18" fillId="0" borderId="0" xfId="0" applyNumberFormat="1" applyFont="1" applyAlignment="1">
      <alignment horizontal="center"/>
    </xf>
    <xf numFmtId="3" fontId="22" fillId="3" borderId="0" xfId="0" applyNumberFormat="1" applyFont="1" applyFill="1" applyAlignment="1">
      <alignment horizontal="center"/>
    </xf>
    <xf numFmtId="3" fontId="26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14" fontId="18" fillId="0" borderId="0" xfId="0" applyNumberFormat="1" applyFont="1"/>
    <xf numFmtId="3" fontId="22" fillId="3" borderId="0" xfId="0" applyNumberFormat="1" applyFont="1" applyFill="1"/>
    <xf numFmtId="3" fontId="24" fillId="3" borderId="0" xfId="0" applyNumberFormat="1" applyFont="1" applyFill="1"/>
    <xf numFmtId="3" fontId="24" fillId="9" borderId="0" xfId="0" applyNumberFormat="1" applyFont="1" applyFill="1"/>
    <xf numFmtId="0" fontId="24" fillId="0" borderId="0" xfId="0" applyFont="1"/>
    <xf numFmtId="0" fontId="25" fillId="0" borderId="0" xfId="0" applyFont="1"/>
    <xf numFmtId="0" fontId="23" fillId="0" borderId="0" xfId="0" applyFont="1"/>
    <xf numFmtId="0" fontId="18" fillId="10" borderId="0" xfId="0" applyFont="1" applyFill="1" applyAlignment="1">
      <alignment horizontal="center" vertical="center"/>
    </xf>
    <xf numFmtId="3" fontId="22" fillId="10" borderId="0" xfId="0" applyNumberFormat="1" applyFont="1" applyFill="1" applyAlignment="1">
      <alignment horizontal="center" vertical="center"/>
    </xf>
    <xf numFmtId="3" fontId="22" fillId="11" borderId="0" xfId="0" applyNumberFormat="1" applyFont="1" applyFill="1" applyAlignment="1">
      <alignment horizontal="center" vertical="center"/>
    </xf>
    <xf numFmtId="3" fontId="24" fillId="11" borderId="0" xfId="0" applyNumberFormat="1" applyFont="1" applyFill="1" applyAlignment="1">
      <alignment horizontal="center"/>
    </xf>
    <xf numFmtId="3" fontId="25" fillId="11" borderId="0" xfId="0" applyNumberFormat="1" applyFont="1" applyFill="1" applyAlignment="1">
      <alignment horizontal="center"/>
    </xf>
    <xf numFmtId="3" fontId="18" fillId="11" borderId="0" xfId="0" applyNumberFormat="1" applyFont="1" applyFill="1" applyAlignment="1">
      <alignment horizontal="center"/>
    </xf>
    <xf numFmtId="14" fontId="18" fillId="7" borderId="0" xfId="0" applyNumberFormat="1" applyFont="1" applyFill="1" applyAlignment="1">
      <alignment horizontal="center"/>
    </xf>
    <xf numFmtId="0" fontId="18" fillId="12" borderId="0" xfId="0" applyFont="1" applyFill="1" applyAlignment="1">
      <alignment horizontal="center" vertical="center"/>
    </xf>
    <xf numFmtId="3" fontId="22" fillId="12" borderId="0" xfId="0" applyNumberFormat="1" applyFont="1" applyFill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18" fillId="13" borderId="0" xfId="0" applyFont="1" applyFill="1" applyAlignment="1">
      <alignment horizontal="center" vertical="center"/>
    </xf>
    <xf numFmtId="3" fontId="22" fillId="13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/>
    </xf>
    <xf numFmtId="3" fontId="18" fillId="4" borderId="0" xfId="0" applyNumberFormat="1" applyFont="1" applyFill="1" applyAlignment="1">
      <alignment horizontal="center"/>
    </xf>
    <xf numFmtId="0" fontId="23" fillId="4" borderId="0" xfId="0" applyFont="1" applyFill="1" applyAlignment="1">
      <alignment horizontal="center" vertical="center"/>
    </xf>
    <xf numFmtId="3" fontId="24" fillId="3" borderId="0" xfId="0" applyNumberFormat="1" applyFont="1" applyFill="1" applyAlignment="1">
      <alignment horizontal="center"/>
    </xf>
    <xf numFmtId="3" fontId="25" fillId="3" borderId="0" xfId="0" applyNumberFormat="1" applyFont="1" applyFill="1" applyAlignment="1">
      <alignment horizontal="center"/>
    </xf>
    <xf numFmtId="14" fontId="23" fillId="0" borderId="0" xfId="0" applyNumberFormat="1" applyFont="1"/>
    <xf numFmtId="3" fontId="18" fillId="3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18" fillId="0" borderId="0" xfId="0" applyFont="1" applyAlignment="1">
      <alignment horizontal="left" vertical="center"/>
    </xf>
    <xf numFmtId="3" fontId="18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3" fontId="22" fillId="14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8" fillId="15" borderId="0" xfId="0" applyFont="1" applyFill="1" applyAlignment="1">
      <alignment horizontal="center" vertical="center"/>
    </xf>
    <xf numFmtId="3" fontId="22" fillId="15" borderId="0" xfId="0" applyNumberFormat="1" applyFont="1" applyFill="1" applyAlignment="1">
      <alignment horizontal="center" vertical="center"/>
    </xf>
    <xf numFmtId="3" fontId="22" fillId="15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 vertical="center"/>
    </xf>
    <xf numFmtId="3" fontId="22" fillId="16" borderId="0" xfId="0" applyNumberFormat="1" applyFont="1" applyFill="1" applyAlignment="1">
      <alignment horizontal="center"/>
    </xf>
    <xf numFmtId="3" fontId="24" fillId="16" borderId="0" xfId="0" applyNumberFormat="1" applyFont="1" applyFill="1" applyAlignment="1">
      <alignment horizontal="center"/>
    </xf>
    <xf numFmtId="3" fontId="24" fillId="16" borderId="0" xfId="0" applyNumberFormat="1" applyFont="1" applyFill="1"/>
    <xf numFmtId="3" fontId="25" fillId="16" borderId="0" xfId="0" applyNumberFormat="1" applyFont="1" applyFill="1"/>
    <xf numFmtId="3" fontId="18" fillId="16" borderId="0" xfId="0" applyNumberFormat="1" applyFont="1" applyFill="1"/>
    <xf numFmtId="0" fontId="23" fillId="7" borderId="0" xfId="0" applyFont="1" applyFill="1"/>
    <xf numFmtId="3" fontId="18" fillId="7" borderId="0" xfId="0" applyNumberFormat="1" applyFont="1" applyFill="1"/>
    <xf numFmtId="0" fontId="18" fillId="17" borderId="0" xfId="0" applyFont="1" applyFill="1" applyAlignment="1">
      <alignment horizontal="center" vertical="center"/>
    </xf>
    <xf numFmtId="3" fontId="22" fillId="17" borderId="0" xfId="0" applyNumberFormat="1" applyFont="1" applyFill="1" applyAlignment="1">
      <alignment horizontal="center" vertical="center"/>
    </xf>
    <xf numFmtId="3" fontId="24" fillId="17" borderId="0" xfId="0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3" fontId="18" fillId="17" borderId="0" xfId="0" applyNumberFormat="1" applyFont="1" applyFill="1" applyAlignment="1">
      <alignment horizontal="center"/>
    </xf>
    <xf numFmtId="0" fontId="18" fillId="18" borderId="0" xfId="0" applyFont="1" applyFill="1" applyAlignment="1">
      <alignment horizontal="center" vertical="center"/>
    </xf>
    <xf numFmtId="3" fontId="22" fillId="18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3" fontId="22" fillId="18" borderId="0" xfId="0" applyNumberFormat="1" applyFont="1" applyFill="1" applyAlignment="1">
      <alignment horizontal="center"/>
    </xf>
    <xf numFmtId="3" fontId="24" fillId="18" borderId="0" xfId="0" applyNumberFormat="1" applyFont="1" applyFill="1" applyAlignment="1">
      <alignment horizontal="center"/>
    </xf>
    <xf numFmtId="3" fontId="25" fillId="18" borderId="0" xfId="0" applyNumberFormat="1" applyFont="1" applyFill="1" applyAlignment="1">
      <alignment horizontal="center"/>
    </xf>
    <xf numFmtId="3" fontId="18" fillId="18" borderId="0" xfId="0" applyNumberFormat="1" applyFont="1" applyFill="1" applyAlignment="1">
      <alignment horizontal="center"/>
    </xf>
    <xf numFmtId="3" fontId="25" fillId="8" borderId="0" xfId="0" applyNumberFormat="1" applyFont="1" applyFill="1" applyAlignment="1">
      <alignment horizontal="center"/>
    </xf>
    <xf numFmtId="14" fontId="31" fillId="0" borderId="0" xfId="0" applyNumberFormat="1" applyFont="1" applyAlignment="1">
      <alignment horizontal="center" vertical="center"/>
    </xf>
    <xf numFmtId="0" fontId="23" fillId="19" borderId="0" xfId="0" applyFont="1" applyFill="1" applyAlignment="1">
      <alignment horizontal="left"/>
    </xf>
    <xf numFmtId="0" fontId="18" fillId="20" borderId="0" xfId="0" applyFont="1" applyFill="1" applyAlignment="1">
      <alignment horizontal="center" vertical="center"/>
    </xf>
    <xf numFmtId="3" fontId="22" fillId="19" borderId="0" xfId="0" applyNumberFormat="1" applyFont="1" applyFill="1" applyAlignment="1">
      <alignment horizontal="center" vertical="center"/>
    </xf>
    <xf numFmtId="14" fontId="18" fillId="19" borderId="0" xfId="0" applyNumberFormat="1" applyFont="1" applyFill="1" applyAlignment="1">
      <alignment horizontal="center" vertical="center"/>
    </xf>
    <xf numFmtId="14" fontId="23" fillId="19" borderId="0" xfId="0" applyNumberFormat="1" applyFont="1" applyFill="1" applyAlignment="1">
      <alignment horizontal="center" vertical="center"/>
    </xf>
    <xf numFmtId="14" fontId="18" fillId="19" borderId="0" xfId="0" applyNumberFormat="1" applyFont="1" applyFill="1" applyAlignment="1">
      <alignment horizontal="center"/>
    </xf>
    <xf numFmtId="3" fontId="24" fillId="19" borderId="0" xfId="0" applyNumberFormat="1" applyFont="1" applyFill="1" applyAlignment="1">
      <alignment horizontal="center"/>
    </xf>
    <xf numFmtId="14" fontId="23" fillId="19" borderId="0" xfId="0" applyNumberFormat="1" applyFont="1" applyFill="1" applyAlignment="1">
      <alignment horizontal="center"/>
    </xf>
    <xf numFmtId="3" fontId="25" fillId="19" borderId="0" xfId="0" applyNumberFormat="1" applyFont="1" applyFill="1" applyAlignment="1">
      <alignment horizontal="center"/>
    </xf>
    <xf numFmtId="0" fontId="23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/>
    </xf>
    <xf numFmtId="0" fontId="27" fillId="0" borderId="0" xfId="0" applyFont="1" applyAlignment="1">
      <alignment horizontal="center" vertical="center"/>
    </xf>
    <xf numFmtId="3" fontId="24" fillId="10" borderId="0" xfId="0" applyNumberFormat="1" applyFont="1" applyFill="1" applyAlignment="1">
      <alignment horizontal="center"/>
    </xf>
    <xf numFmtId="3" fontId="25" fillId="10" borderId="0" xfId="0" applyNumberFormat="1" applyFont="1" applyFill="1" applyAlignment="1">
      <alignment horizontal="center"/>
    </xf>
    <xf numFmtId="3" fontId="18" fillId="10" borderId="0" xfId="0" applyNumberFormat="1" applyFont="1" applyFill="1" applyAlignment="1">
      <alignment horizontal="center"/>
    </xf>
    <xf numFmtId="14" fontId="32" fillId="0" borderId="0" xfId="0" applyNumberFormat="1" applyFont="1" applyAlignment="1">
      <alignment horizontal="center" vertical="center"/>
    </xf>
    <xf numFmtId="3" fontId="22" fillId="16" borderId="0" xfId="0" applyNumberFormat="1" applyFont="1" applyFill="1" applyAlignment="1">
      <alignment horizontal="center" vertical="center"/>
    </xf>
    <xf numFmtId="3" fontId="24" fillId="21" borderId="0" xfId="0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3" fontId="25" fillId="4" borderId="0" xfId="0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18" fillId="22" borderId="0" xfId="0" applyFont="1" applyFill="1" applyAlignment="1">
      <alignment horizontal="center" vertical="center"/>
    </xf>
    <xf numFmtId="17" fontId="23" fillId="0" borderId="0" xfId="0" applyNumberFormat="1" applyFont="1" applyAlignment="1">
      <alignment horizontal="center" vertical="center"/>
    </xf>
    <xf numFmtId="3" fontId="33" fillId="22" borderId="0" xfId="0" applyNumberFormat="1" applyFont="1" applyFill="1" applyAlignment="1">
      <alignment horizontal="center" vertical="center"/>
    </xf>
    <xf numFmtId="3" fontId="18" fillId="22" borderId="0" xfId="0" applyNumberFormat="1" applyFont="1" applyFill="1" applyAlignment="1">
      <alignment horizontal="center" vertical="center"/>
    </xf>
    <xf numFmtId="14" fontId="23" fillId="4" borderId="0" xfId="0" applyNumberFormat="1" applyFont="1" applyFill="1" applyAlignment="1">
      <alignment horizontal="center" vertical="center"/>
    </xf>
    <xf numFmtId="0" fontId="18" fillId="23" borderId="0" xfId="0" applyFont="1" applyFill="1" applyAlignment="1">
      <alignment horizontal="center"/>
    </xf>
    <xf numFmtId="3" fontId="22" fillId="23" borderId="0" xfId="0" applyNumberFormat="1" applyFont="1" applyFill="1" applyAlignment="1">
      <alignment horizontal="center"/>
    </xf>
    <xf numFmtId="3" fontId="22" fillId="23" borderId="0" xfId="0" applyNumberFormat="1" applyFont="1" applyFill="1"/>
    <xf numFmtId="3" fontId="24" fillId="23" borderId="0" xfId="0" applyNumberFormat="1" applyFont="1" applyFill="1"/>
    <xf numFmtId="15" fontId="18" fillId="0" borderId="0" xfId="0" applyNumberFormat="1" applyFont="1" applyAlignment="1">
      <alignment horizontal="center"/>
    </xf>
    <xf numFmtId="0" fontId="18" fillId="2" borderId="0" xfId="0" applyFont="1" applyFill="1"/>
    <xf numFmtId="0" fontId="18" fillId="5" borderId="0" xfId="0" applyFont="1" applyFill="1" applyAlignment="1">
      <alignment horizontal="center"/>
    </xf>
    <xf numFmtId="3" fontId="22" fillId="5" borderId="0" xfId="0" applyNumberFormat="1" applyFont="1" applyFill="1" applyAlignment="1">
      <alignment horizontal="center"/>
    </xf>
    <xf numFmtId="3" fontId="22" fillId="16" borderId="0" xfId="0" applyNumberFormat="1" applyFont="1" applyFill="1"/>
    <xf numFmtId="3" fontId="22" fillId="5" borderId="0" xfId="0" applyNumberFormat="1" applyFont="1" applyFill="1"/>
    <xf numFmtId="0" fontId="22" fillId="0" borderId="0" xfId="0" applyFont="1"/>
    <xf numFmtId="0" fontId="34" fillId="0" borderId="0" xfId="0" applyFont="1"/>
    <xf numFmtId="0" fontId="18" fillId="7" borderId="0" xfId="0" applyFont="1" applyFill="1"/>
    <xf numFmtId="3" fontId="22" fillId="7" borderId="0" xfId="0" applyNumberFormat="1" applyFont="1" applyFill="1"/>
    <xf numFmtId="3" fontId="22" fillId="18" borderId="0" xfId="0" applyNumberFormat="1" applyFont="1" applyFill="1"/>
    <xf numFmtId="3" fontId="24" fillId="18" borderId="0" xfId="0" applyNumberFormat="1" applyFont="1" applyFill="1"/>
    <xf numFmtId="3" fontId="25" fillId="18" borderId="0" xfId="0" applyNumberFormat="1" applyFont="1" applyFill="1"/>
    <xf numFmtId="0" fontId="23" fillId="4" borderId="0" xfId="0" applyFont="1" applyFill="1"/>
    <xf numFmtId="3" fontId="18" fillId="4" borderId="0" xfId="0" applyNumberFormat="1" applyFont="1" applyFill="1"/>
    <xf numFmtId="3" fontId="16" fillId="0" borderId="1" xfId="0" applyNumberFormat="1" applyFont="1" applyBorder="1" applyAlignment="1">
      <alignment horizontal="center"/>
    </xf>
    <xf numFmtId="3" fontId="19" fillId="0" borderId="1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30" fillId="6" borderId="0" xfId="0" applyFont="1" applyFill="1" applyAlignment="1">
      <alignment horizontal="center" vertical="center"/>
    </xf>
    <xf numFmtId="14" fontId="18" fillId="6" borderId="0" xfId="0" applyNumberFormat="1" applyFont="1" applyFill="1" applyAlignment="1">
      <alignment horizontal="center" vertical="center"/>
    </xf>
    <xf numFmtId="14" fontId="18" fillId="24" borderId="0" xfId="0" applyNumberFormat="1" applyFont="1" applyFill="1" applyAlignment="1">
      <alignment horizontal="center"/>
    </xf>
    <xf numFmtId="0" fontId="18" fillId="25" borderId="0" xfId="0" applyFont="1" applyFill="1" applyAlignment="1">
      <alignment horizontal="center" vertical="center"/>
    </xf>
    <xf numFmtId="3" fontId="22" fillId="25" borderId="0" xfId="0" applyNumberFormat="1" applyFont="1" applyFill="1" applyAlignment="1">
      <alignment horizontal="center"/>
    </xf>
    <xf numFmtId="14" fontId="18" fillId="6" borderId="0" xfId="0" applyNumberFormat="1" applyFont="1" applyFill="1"/>
    <xf numFmtId="3" fontId="22" fillId="6" borderId="0" xfId="0" applyNumberFormat="1" applyFont="1" applyFill="1" applyAlignment="1">
      <alignment horizontal="center"/>
    </xf>
    <xf numFmtId="14" fontId="18" fillId="5" borderId="0" xfId="0" applyNumberFormat="1" applyFont="1" applyFill="1" applyAlignment="1">
      <alignment horizontal="center" vertical="center"/>
    </xf>
    <xf numFmtId="0" fontId="18" fillId="26" borderId="0" xfId="0" applyFont="1" applyFill="1" applyAlignment="1">
      <alignment horizontal="center" vertical="center"/>
    </xf>
    <xf numFmtId="3" fontId="22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0" fontId="23" fillId="6" borderId="0" xfId="0" applyFont="1" applyFill="1"/>
    <xf numFmtId="0" fontId="25" fillId="6" borderId="0" xfId="0" applyFont="1" applyFill="1"/>
    <xf numFmtId="14" fontId="18" fillId="4" borderId="0" xfId="0" applyNumberFormat="1" applyFont="1" applyFill="1" applyAlignment="1">
      <alignment horizontal="center" vertical="center"/>
    </xf>
    <xf numFmtId="14" fontId="18" fillId="5" borderId="0" xfId="0" applyNumberFormat="1" applyFont="1" applyFill="1" applyAlignment="1">
      <alignment horizontal="center"/>
    </xf>
    <xf numFmtId="0" fontId="18" fillId="27" borderId="0" xfId="0" applyFont="1" applyFill="1" applyAlignment="1">
      <alignment horizontal="center"/>
    </xf>
    <xf numFmtId="3" fontId="22" fillId="28" borderId="0" xfId="0" applyNumberFormat="1" applyFont="1" applyFill="1" applyAlignment="1">
      <alignment horizontal="center"/>
    </xf>
    <xf numFmtId="0" fontId="18" fillId="24" borderId="0" xfId="0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2" fillId="27" borderId="0" xfId="0" applyNumberFormat="1" applyFont="1" applyFill="1" applyAlignment="1">
      <alignment horizontal="center"/>
    </xf>
    <xf numFmtId="3" fontId="22" fillId="30" borderId="0" xfId="0" applyNumberFormat="1" applyFont="1" applyFill="1" applyAlignment="1">
      <alignment horizontal="center"/>
    </xf>
    <xf numFmtId="0" fontId="18" fillId="31" borderId="0" xfId="0" applyFont="1" applyFill="1" applyAlignment="1">
      <alignment horizontal="center" vertical="center"/>
    </xf>
    <xf numFmtId="3" fontId="18" fillId="0" borderId="0" xfId="0" applyNumberFormat="1" applyFont="1"/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0" fillId="32" borderId="0" xfId="0" applyFill="1" applyAlignment="1">
      <alignment horizontal="center"/>
    </xf>
    <xf numFmtId="15" fontId="0" fillId="0" borderId="0" xfId="0" applyNumberFormat="1" applyAlignment="1">
      <alignment horizontal="center"/>
    </xf>
    <xf numFmtId="0" fontId="0" fillId="33" borderId="0" xfId="0" applyFill="1"/>
    <xf numFmtId="3" fontId="0" fillId="0" borderId="0" xfId="0" applyNumberFormat="1" applyAlignment="1">
      <alignment horizontal="center"/>
    </xf>
    <xf numFmtId="3" fontId="42" fillId="32" borderId="0" xfId="0" applyNumberFormat="1" applyFont="1" applyFill="1" applyAlignment="1">
      <alignment horizontal="center"/>
    </xf>
    <xf numFmtId="3" fontId="14" fillId="0" borderId="0" xfId="0" applyNumberFormat="1" applyFont="1" applyAlignment="1">
      <alignment horizontal="center"/>
    </xf>
    <xf numFmtId="3" fontId="43" fillId="0" borderId="0" xfId="0" applyNumberFormat="1" applyFont="1" applyAlignment="1">
      <alignment horizontal="center"/>
    </xf>
    <xf numFmtId="14" fontId="40" fillId="0" borderId="0" xfId="0" applyNumberFormat="1" applyFont="1" applyAlignment="1">
      <alignment horizontal="center"/>
    </xf>
    <xf numFmtId="3" fontId="39" fillId="32" borderId="0" xfId="0" applyNumberFormat="1" applyFont="1" applyFill="1" applyAlignment="1">
      <alignment horizontal="center"/>
    </xf>
    <xf numFmtId="0" fontId="41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0" fillId="31" borderId="0" xfId="0" applyFill="1" applyAlignment="1">
      <alignment horizontal="center"/>
    </xf>
    <xf numFmtId="3" fontId="42" fillId="31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3" fontId="39" fillId="0" borderId="0" xfId="0" applyNumberFormat="1" applyFont="1" applyAlignment="1">
      <alignment horizontal="center"/>
    </xf>
    <xf numFmtId="14" fontId="40" fillId="4" borderId="0" xfId="0" applyNumberFormat="1" applyFont="1" applyFill="1" applyAlignment="1">
      <alignment horizontal="center"/>
    </xf>
    <xf numFmtId="3" fontId="39" fillId="4" borderId="0" xfId="0" applyNumberFormat="1" applyFont="1" applyFill="1" applyAlignment="1">
      <alignment horizontal="center"/>
    </xf>
    <xf numFmtId="0" fontId="0" fillId="30" borderId="0" xfId="0" applyFill="1" applyAlignment="1">
      <alignment horizontal="center"/>
    </xf>
    <xf numFmtId="3" fontId="0" fillId="30" borderId="0" xfId="0" applyNumberFormat="1" applyFill="1" applyAlignment="1">
      <alignment horizontal="center"/>
    </xf>
    <xf numFmtId="3" fontId="42" fillId="30" borderId="0" xfId="0" applyNumberFormat="1" applyFont="1" applyFill="1" applyAlignment="1">
      <alignment horizontal="center"/>
    </xf>
    <xf numFmtId="14" fontId="40" fillId="30" borderId="0" xfId="0" applyNumberFormat="1" applyFont="1" applyFill="1" applyAlignment="1">
      <alignment horizontal="center"/>
    </xf>
    <xf numFmtId="3" fontId="39" fillId="30" borderId="0" xfId="0" applyNumberFormat="1" applyFont="1" applyFill="1" applyAlignment="1">
      <alignment horizontal="center"/>
    </xf>
    <xf numFmtId="3" fontId="39" fillId="30" borderId="0" xfId="0" applyNumberFormat="1" applyFont="1" applyFill="1"/>
    <xf numFmtId="14" fontId="40" fillId="30" borderId="0" xfId="0" applyNumberFormat="1" applyFont="1" applyFill="1"/>
    <xf numFmtId="14" fontId="0" fillId="30" borderId="0" xfId="0" applyNumberFormat="1" applyFill="1" applyAlignment="1">
      <alignment horizontal="center"/>
    </xf>
    <xf numFmtId="3" fontId="41" fillId="30" borderId="0" xfId="0" applyNumberFormat="1" applyFont="1" applyFill="1"/>
    <xf numFmtId="0" fontId="0" fillId="4" borderId="0" xfId="0" applyFill="1"/>
    <xf numFmtId="0" fontId="41" fillId="4" borderId="0" xfId="0" applyFont="1" applyFill="1"/>
    <xf numFmtId="0" fontId="0" fillId="34" borderId="0" xfId="0" applyFill="1"/>
    <xf numFmtId="14" fontId="40" fillId="0" borderId="0" xfId="0" applyNumberFormat="1" applyFont="1" applyAlignment="1">
      <alignment horizontal="center" vertical="center"/>
    </xf>
    <xf numFmtId="3" fontId="39" fillId="32" borderId="0" xfId="0" applyNumberFormat="1" applyFont="1" applyFill="1" applyAlignment="1">
      <alignment horizontal="center" vertical="center"/>
    </xf>
    <xf numFmtId="3" fontId="41" fillId="3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44" fillId="0" borderId="0" xfId="0" applyNumberFormat="1" applyFont="1" applyAlignment="1">
      <alignment horizontal="center"/>
    </xf>
    <xf numFmtId="0" fontId="44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/>
    <xf numFmtId="3" fontId="42" fillId="6" borderId="0" xfId="0" applyNumberFormat="1" applyFont="1" applyFill="1" applyAlignment="1">
      <alignment horizontal="center"/>
    </xf>
    <xf numFmtId="3" fontId="39" fillId="0" borderId="0" xfId="0" applyNumberFormat="1" applyFont="1"/>
    <xf numFmtId="14" fontId="40" fillId="0" borderId="0" xfId="0" applyNumberFormat="1" applyFont="1"/>
    <xf numFmtId="3" fontId="41" fillId="0" borderId="0" xfId="0" applyNumberFormat="1" applyFont="1"/>
    <xf numFmtId="14" fontId="0" fillId="0" borderId="0" xfId="0" applyNumberFormat="1"/>
    <xf numFmtId="0" fontId="0" fillId="35" borderId="0" xfId="0" applyFill="1" applyAlignment="1">
      <alignment horizontal="center"/>
    </xf>
    <xf numFmtId="3" fontId="42" fillId="35" borderId="0" xfId="0" applyNumberFormat="1" applyFont="1" applyFill="1" applyAlignment="1">
      <alignment horizontal="center"/>
    </xf>
    <xf numFmtId="3" fontId="39" fillId="35" borderId="0" xfId="0" applyNumberFormat="1" applyFont="1" applyFill="1" applyAlignment="1">
      <alignment horizontal="center"/>
    </xf>
    <xf numFmtId="0" fontId="0" fillId="27" borderId="0" xfId="0" applyFill="1" applyAlignment="1">
      <alignment horizontal="center"/>
    </xf>
    <xf numFmtId="0" fontId="0" fillId="2" borderId="0" xfId="0" applyFill="1"/>
    <xf numFmtId="3" fontId="42" fillId="27" borderId="0" xfId="0" applyNumberFormat="1" applyFont="1" applyFill="1" applyAlignment="1">
      <alignment horizontal="center"/>
    </xf>
    <xf numFmtId="3" fontId="39" fillId="3" borderId="0" xfId="0" applyNumberFormat="1" applyFont="1" applyFill="1" applyAlignment="1">
      <alignment horizontal="center"/>
    </xf>
    <xf numFmtId="3" fontId="39" fillId="3" borderId="0" xfId="0" applyNumberFormat="1" applyFont="1" applyFill="1"/>
    <xf numFmtId="0" fontId="40" fillId="4" borderId="0" xfId="0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3" fontId="41" fillId="3" borderId="0" xfId="0" applyNumberFormat="1" applyFont="1" applyFill="1"/>
    <xf numFmtId="14" fontId="0" fillId="4" borderId="0" xfId="0" applyNumberFormat="1" applyFill="1"/>
    <xf numFmtId="3" fontId="41" fillId="4" borderId="0" xfId="0" applyNumberFormat="1" applyFont="1" applyFill="1"/>
    <xf numFmtId="0" fontId="0" fillId="5" borderId="0" xfId="0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39" fillId="5" borderId="0" xfId="0" applyNumberFormat="1" applyFont="1" applyFill="1" applyAlignment="1">
      <alignment horizontal="center"/>
    </xf>
    <xf numFmtId="0" fontId="0" fillId="23" borderId="0" xfId="0" applyFill="1" applyAlignment="1">
      <alignment horizontal="center"/>
    </xf>
    <xf numFmtId="0" fontId="12" fillId="0" borderId="0" xfId="0" applyFont="1" applyAlignment="1">
      <alignment horizontal="center"/>
    </xf>
    <xf numFmtId="3" fontId="42" fillId="23" borderId="0" xfId="0" applyNumberFormat="1" applyFont="1" applyFill="1" applyAlignment="1">
      <alignment horizontal="center"/>
    </xf>
    <xf numFmtId="3" fontId="39" fillId="23" borderId="0" xfId="0" applyNumberFormat="1" applyFont="1" applyFill="1" applyAlignment="1">
      <alignment horizontal="center"/>
    </xf>
    <xf numFmtId="14" fontId="40" fillId="7" borderId="0" xfId="0" applyNumberFormat="1" applyFont="1" applyFill="1" applyAlignment="1">
      <alignment horizontal="center"/>
    </xf>
    <xf numFmtId="3" fontId="39" fillId="7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3" fontId="42" fillId="10" borderId="0" xfId="0" applyNumberFormat="1" applyFont="1" applyFill="1" applyAlignment="1">
      <alignment horizontal="center"/>
    </xf>
    <xf numFmtId="3" fontId="39" fillId="10" borderId="0" xfId="0" applyNumberFormat="1" applyFont="1" applyFill="1" applyAlignment="1">
      <alignment horizontal="center"/>
    </xf>
    <xf numFmtId="3" fontId="39" fillId="10" borderId="0" xfId="0" applyNumberFormat="1" applyFont="1" applyFill="1"/>
    <xf numFmtId="3" fontId="41" fillId="10" borderId="0" xfId="0" applyNumberFormat="1" applyFont="1" applyFill="1"/>
    <xf numFmtId="0" fontId="0" fillId="10" borderId="0" xfId="0" applyFill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40" fillId="2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3" fontId="42" fillId="10" borderId="0" xfId="0" applyNumberFormat="1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3" fontId="39" fillId="10" borderId="0" xfId="0" applyNumberFormat="1" applyFont="1" applyFill="1" applyAlignment="1">
      <alignment horizontal="center" vertical="center"/>
    </xf>
    <xf numFmtId="3" fontId="0" fillId="10" borderId="0" xfId="0" applyNumberFormat="1" applyFill="1"/>
    <xf numFmtId="3" fontId="0" fillId="10" borderId="0" xfId="0" applyNumberFormat="1" applyFill="1" applyAlignment="1">
      <alignment horizontal="center"/>
    </xf>
    <xf numFmtId="14" fontId="0" fillId="7" borderId="0" xfId="0" applyNumberFormat="1" applyFill="1"/>
    <xf numFmtId="3" fontId="0" fillId="7" borderId="0" xfId="0" applyNumberFormat="1" applyFill="1"/>
    <xf numFmtId="3" fontId="40" fillId="30" borderId="0" xfId="0" applyNumberFormat="1" applyFont="1" applyFill="1" applyAlignment="1">
      <alignment horizontal="center" vertical="center"/>
    </xf>
    <xf numFmtId="3" fontId="42" fillId="30" borderId="0" xfId="0" applyNumberFormat="1" applyFont="1" applyFill="1" applyAlignment="1">
      <alignment horizontal="center" vertical="center"/>
    </xf>
    <xf numFmtId="14" fontId="40" fillId="30" borderId="0" xfId="0" applyNumberFormat="1" applyFont="1" applyFill="1" applyAlignment="1">
      <alignment horizontal="center" vertical="center"/>
    </xf>
    <xf numFmtId="3" fontId="39" fillId="30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41" fillId="7" borderId="0" xfId="0" applyFont="1" applyFill="1"/>
    <xf numFmtId="0" fontId="12" fillId="36" borderId="0" xfId="0" applyFont="1" applyFill="1" applyAlignment="1">
      <alignment horizontal="center"/>
    </xf>
    <xf numFmtId="0" fontId="30" fillId="0" borderId="0" xfId="0" applyFont="1" applyAlignment="1">
      <alignment horizontal="left"/>
    </xf>
    <xf numFmtId="3" fontId="42" fillId="36" borderId="0" xfId="0" applyNumberFormat="1" applyFont="1" applyFill="1" applyAlignment="1">
      <alignment horizontal="center" vertical="center"/>
    </xf>
    <xf numFmtId="3" fontId="39" fillId="36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3" fontId="42" fillId="12" borderId="0" xfId="0" applyNumberFormat="1" applyFont="1" applyFill="1" applyAlignment="1">
      <alignment horizontal="center"/>
    </xf>
    <xf numFmtId="3" fontId="39" fillId="14" borderId="0" xfId="0" applyNumberFormat="1" applyFont="1" applyFill="1" applyAlignment="1">
      <alignment horizontal="center"/>
    </xf>
    <xf numFmtId="3" fontId="39" fillId="37" borderId="0" xfId="0" applyNumberFormat="1" applyFont="1" applyFill="1" applyAlignment="1">
      <alignment horizontal="center"/>
    </xf>
    <xf numFmtId="3" fontId="39" fillId="37" borderId="0" xfId="0" applyNumberFormat="1" applyFont="1" applyFill="1"/>
    <xf numFmtId="14" fontId="40" fillId="4" borderId="0" xfId="0" applyNumberFormat="1" applyFont="1" applyFill="1"/>
    <xf numFmtId="3" fontId="39" fillId="4" borderId="0" xfId="0" applyNumberFormat="1" applyFont="1" applyFill="1"/>
    <xf numFmtId="0" fontId="0" fillId="15" borderId="0" xfId="0" applyFill="1" applyAlignment="1">
      <alignment horizontal="center"/>
    </xf>
    <xf numFmtId="3" fontId="42" fillId="15" borderId="0" xfId="0" applyNumberFormat="1" applyFont="1" applyFill="1" applyAlignment="1">
      <alignment horizontal="center"/>
    </xf>
    <xf numFmtId="3" fontId="39" fillId="15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3" fontId="42" fillId="8" borderId="0" xfId="0" applyNumberFormat="1" applyFont="1" applyFill="1" applyAlignment="1">
      <alignment horizontal="center"/>
    </xf>
    <xf numFmtId="3" fontId="39" fillId="8" borderId="0" xfId="0" applyNumberFormat="1" applyFont="1" applyFill="1" applyAlignment="1">
      <alignment horizontal="center"/>
    </xf>
    <xf numFmtId="3" fontId="40" fillId="8" borderId="0" xfId="0" applyNumberFormat="1" applyFont="1" applyFill="1"/>
    <xf numFmtId="0" fontId="0" fillId="16" borderId="0" xfId="0" applyFill="1" applyAlignment="1">
      <alignment horizontal="center"/>
    </xf>
    <xf numFmtId="3" fontId="42" fillId="16" borderId="0" xfId="0" applyNumberFormat="1" applyFont="1" applyFill="1" applyAlignment="1">
      <alignment horizontal="center"/>
    </xf>
    <xf numFmtId="3" fontId="39" fillId="16" borderId="0" xfId="0" applyNumberFormat="1" applyFont="1" applyFill="1" applyAlignment="1">
      <alignment horizontal="center"/>
    </xf>
    <xf numFmtId="3" fontId="41" fillId="16" borderId="0" xfId="0" applyNumberFormat="1" applyFont="1" applyFill="1"/>
    <xf numFmtId="3" fontId="0" fillId="16" borderId="0" xfId="0" applyNumberFormat="1" applyFill="1"/>
    <xf numFmtId="3" fontId="0" fillId="21" borderId="0" xfId="0" applyNumberFormat="1" applyFill="1"/>
    <xf numFmtId="0" fontId="0" fillId="38" borderId="0" xfId="0" applyFill="1" applyAlignment="1">
      <alignment horizontal="center"/>
    </xf>
    <xf numFmtId="3" fontId="42" fillId="38" borderId="0" xfId="0" applyNumberFormat="1" applyFont="1" applyFill="1" applyAlignment="1">
      <alignment horizontal="center"/>
    </xf>
    <xf numFmtId="3" fontId="39" fillId="38" borderId="0" xfId="0" applyNumberFormat="1" applyFont="1" applyFill="1" applyAlignment="1">
      <alignment horizontal="center"/>
    </xf>
    <xf numFmtId="3" fontId="0" fillId="0" borderId="0" xfId="0" applyNumberFormat="1"/>
    <xf numFmtId="0" fontId="0" fillId="39" borderId="0" xfId="0" applyFill="1" applyAlignment="1">
      <alignment horizontal="center"/>
    </xf>
    <xf numFmtId="3" fontId="42" fillId="39" borderId="0" xfId="0" applyNumberFormat="1" applyFont="1" applyFill="1" applyAlignment="1">
      <alignment horizontal="center"/>
    </xf>
    <xf numFmtId="3" fontId="0" fillId="4" borderId="0" xfId="0" applyNumberFormat="1" applyFill="1"/>
    <xf numFmtId="0" fontId="0" fillId="40" borderId="0" xfId="0" applyFill="1" applyAlignment="1">
      <alignment horizontal="center"/>
    </xf>
    <xf numFmtId="3" fontId="39" fillId="23" borderId="0" xfId="0" applyNumberFormat="1" applyFont="1" applyFill="1"/>
    <xf numFmtId="3" fontId="41" fillId="23" borderId="0" xfId="0" applyNumberFormat="1" applyFont="1" applyFill="1"/>
    <xf numFmtId="0" fontId="0" fillId="7" borderId="0" xfId="0" applyFill="1"/>
    <xf numFmtId="3" fontId="41" fillId="7" borderId="0" xfId="0" applyNumberFormat="1" applyFont="1" applyFill="1"/>
    <xf numFmtId="0" fontId="40" fillId="34" borderId="0" xfId="0" applyFont="1" applyFill="1" applyAlignment="1">
      <alignment horizontal="left"/>
    </xf>
    <xf numFmtId="3" fontId="42" fillId="41" borderId="0" xfId="0" applyNumberFormat="1" applyFont="1" applyFill="1" applyAlignment="1">
      <alignment horizontal="center" vertical="center"/>
    </xf>
    <xf numFmtId="15" fontId="40" fillId="0" borderId="0" xfId="0" applyNumberFormat="1" applyFont="1" applyAlignment="1">
      <alignment horizontal="center"/>
    </xf>
    <xf numFmtId="3" fontId="39" fillId="41" borderId="0" xfId="0" applyNumberFormat="1" applyFont="1" applyFill="1" applyAlignment="1">
      <alignment horizontal="center"/>
    </xf>
    <xf numFmtId="3" fontId="39" fillId="41" borderId="0" xfId="0" applyNumberFormat="1" applyFont="1" applyFill="1" applyAlignment="1">
      <alignment horizontal="center" vertical="center"/>
    </xf>
    <xf numFmtId="0" fontId="40" fillId="8" borderId="0" xfId="0" applyFont="1" applyFill="1" applyAlignment="1">
      <alignment horizontal="left"/>
    </xf>
    <xf numFmtId="3" fontId="40" fillId="41" borderId="0" xfId="0" applyNumberFormat="1" applyFont="1" applyFill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14" fontId="41" fillId="0" borderId="0" xfId="0" applyNumberFormat="1" applyFont="1"/>
    <xf numFmtId="3" fontId="0" fillId="3" borderId="0" xfId="0" applyNumberFormat="1" applyFill="1"/>
    <xf numFmtId="3" fontId="39" fillId="6" borderId="0" xfId="0" applyNumberFormat="1" applyFont="1" applyFill="1" applyAlignment="1">
      <alignment horizontal="center"/>
    </xf>
    <xf numFmtId="3" fontId="39" fillId="6" borderId="0" xfId="0" applyNumberFormat="1" applyFont="1" applyFill="1"/>
    <xf numFmtId="3" fontId="39" fillId="32" borderId="0" xfId="0" applyNumberFormat="1" applyFont="1" applyFill="1"/>
    <xf numFmtId="3" fontId="41" fillId="32" borderId="0" xfId="0" applyNumberFormat="1" applyFont="1" applyFill="1"/>
    <xf numFmtId="0" fontId="39" fillId="4" borderId="0" xfId="0" applyFont="1" applyFill="1"/>
    <xf numFmtId="0" fontId="12" fillId="15" borderId="0" xfId="0" applyFont="1" applyFill="1" applyAlignment="1">
      <alignment horizontal="center"/>
    </xf>
    <xf numFmtId="0" fontId="12" fillId="0" borderId="0" xfId="0" applyFont="1"/>
    <xf numFmtId="3" fontId="42" fillId="11" borderId="0" xfId="0" applyNumberFormat="1" applyFont="1" applyFill="1" applyAlignment="1">
      <alignment horizontal="center"/>
    </xf>
    <xf numFmtId="0" fontId="45" fillId="0" borderId="0" xfId="0" applyFont="1" applyAlignment="1">
      <alignment horizontal="center"/>
    </xf>
    <xf numFmtId="3" fontId="39" fillId="16" borderId="0" xfId="0" applyNumberFormat="1" applyFont="1" applyFill="1"/>
    <xf numFmtId="0" fontId="0" fillId="42" borderId="0" xfId="0" applyFill="1" applyAlignment="1">
      <alignment horizontal="center"/>
    </xf>
    <xf numFmtId="3" fontId="42" fillId="42" borderId="0" xfId="0" applyNumberFormat="1" applyFont="1" applyFill="1" applyAlignment="1">
      <alignment horizontal="center"/>
    </xf>
    <xf numFmtId="3" fontId="39" fillId="42" borderId="0" xfId="0" applyNumberFormat="1" applyFont="1" applyFill="1" applyAlignment="1">
      <alignment horizontal="center"/>
    </xf>
    <xf numFmtId="3" fontId="39" fillId="42" borderId="0" xfId="0" applyNumberFormat="1" applyFont="1" applyFill="1"/>
    <xf numFmtId="3" fontId="39" fillId="5" borderId="0" xfId="0" applyNumberFormat="1" applyFont="1" applyFill="1"/>
    <xf numFmtId="0" fontId="0" fillId="43" borderId="0" xfId="0" applyFill="1" applyAlignment="1">
      <alignment horizontal="center"/>
    </xf>
    <xf numFmtId="3" fontId="0" fillId="44" borderId="0" xfId="0" applyNumberFormat="1" applyFill="1" applyAlignment="1">
      <alignment horizontal="center"/>
    </xf>
    <xf numFmtId="3" fontId="42" fillId="44" borderId="0" xfId="0" applyNumberFormat="1" applyFont="1" applyFill="1" applyAlignment="1">
      <alignment horizontal="center"/>
    </xf>
    <xf numFmtId="14" fontId="40" fillId="44" borderId="0" xfId="0" applyNumberFormat="1" applyFont="1" applyFill="1" applyAlignment="1">
      <alignment horizontal="center"/>
    </xf>
    <xf numFmtId="3" fontId="39" fillId="44" borderId="0" xfId="0" applyNumberFormat="1" applyFont="1" applyFill="1" applyAlignment="1">
      <alignment horizontal="center"/>
    </xf>
    <xf numFmtId="14" fontId="40" fillId="44" borderId="0" xfId="0" applyNumberFormat="1" applyFont="1" applyFill="1"/>
    <xf numFmtId="3" fontId="39" fillId="44" borderId="0" xfId="0" applyNumberFormat="1" applyFont="1" applyFill="1"/>
    <xf numFmtId="3" fontId="41" fillId="44" borderId="0" xfId="0" applyNumberFormat="1" applyFont="1" applyFill="1"/>
    <xf numFmtId="3" fontId="41" fillId="14" borderId="0" xfId="0" applyNumberFormat="1" applyFont="1" applyFill="1"/>
    <xf numFmtId="3" fontId="41" fillId="45" borderId="0" xfId="0" applyNumberFormat="1" applyFont="1" applyFill="1"/>
    <xf numFmtId="3" fontId="41" fillId="37" borderId="0" xfId="0" applyNumberFormat="1" applyFont="1" applyFill="1"/>
    <xf numFmtId="3" fontId="0" fillId="37" borderId="0" xfId="0" applyNumberFormat="1" applyFill="1"/>
    <xf numFmtId="3" fontId="0" fillId="14" borderId="0" xfId="0" applyNumberFormat="1" applyFill="1"/>
    <xf numFmtId="3" fontId="0" fillId="46" borderId="0" xfId="0" applyNumberFormat="1" applyFill="1"/>
    <xf numFmtId="3" fontId="34" fillId="10" borderId="0" xfId="0" applyNumberFormat="1" applyFont="1" applyFill="1" applyAlignment="1">
      <alignment horizontal="center"/>
    </xf>
    <xf numFmtId="3" fontId="39" fillId="33" borderId="0" xfId="0" applyNumberFormat="1" applyFont="1" applyFill="1" applyAlignment="1">
      <alignment horizontal="center"/>
    </xf>
    <xf numFmtId="3" fontId="39" fillId="33" borderId="0" xfId="0" applyNumberFormat="1" applyFont="1" applyFill="1"/>
    <xf numFmtId="3" fontId="41" fillId="33" borderId="0" xfId="0" applyNumberFormat="1" applyFont="1" applyFill="1"/>
    <xf numFmtId="3" fontId="41" fillId="2" borderId="0" xfId="0" applyNumberFormat="1" applyFont="1" applyFill="1"/>
    <xf numFmtId="0" fontId="0" fillId="8" borderId="0" xfId="0" applyFill="1" applyAlignment="1">
      <alignment horizontal="left"/>
    </xf>
    <xf numFmtId="14" fontId="40" fillId="6" borderId="0" xfId="0" applyNumberFormat="1" applyFont="1" applyFill="1" applyAlignment="1">
      <alignment horizontal="center"/>
    </xf>
    <xf numFmtId="3" fontId="39" fillId="8" borderId="0" xfId="0" applyNumberFormat="1" applyFont="1" applyFill="1"/>
    <xf numFmtId="14" fontId="0" fillId="6" borderId="0" xfId="0" applyNumberFormat="1" applyFill="1" applyAlignment="1">
      <alignment horizontal="center"/>
    </xf>
    <xf numFmtId="14" fontId="0" fillId="6" borderId="0" xfId="0" applyNumberFormat="1" applyFill="1"/>
    <xf numFmtId="3" fontId="0" fillId="8" borderId="0" xfId="0" applyNumberFormat="1" applyFill="1"/>
    <xf numFmtId="14" fontId="0" fillId="9" borderId="0" xfId="0" applyNumberFormat="1" applyFill="1"/>
    <xf numFmtId="3" fontId="41" fillId="9" borderId="0" xfId="0" applyNumberFormat="1" applyFont="1" applyFill="1"/>
    <xf numFmtId="0" fontId="0" fillId="0" borderId="0" xfId="0" applyAlignment="1">
      <alignment horizontal="left"/>
    </xf>
    <xf numFmtId="3" fontId="42" fillId="0" borderId="0" xfId="0" applyNumberFormat="1" applyFont="1" applyAlignment="1">
      <alignment horizontal="center"/>
    </xf>
    <xf numFmtId="0" fontId="18" fillId="32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3" fontId="39" fillId="47" borderId="0" xfId="0" applyNumberFormat="1" applyFont="1" applyFill="1" applyAlignment="1">
      <alignment horizontal="center"/>
    </xf>
    <xf numFmtId="3" fontId="41" fillId="47" borderId="0" xfId="0" applyNumberFormat="1" applyFont="1" applyFill="1"/>
    <xf numFmtId="3" fontId="0" fillId="47" borderId="0" xfId="0" applyNumberFormat="1" applyFill="1"/>
    <xf numFmtId="3" fontId="0" fillId="48" borderId="0" xfId="0" applyNumberFormat="1" applyFill="1"/>
    <xf numFmtId="0" fontId="0" fillId="47" borderId="0" xfId="0" applyFill="1" applyAlignment="1">
      <alignment horizontal="center"/>
    </xf>
    <xf numFmtId="3" fontId="0" fillId="31" borderId="0" xfId="0" applyNumberFormat="1" applyFill="1" applyAlignment="1">
      <alignment horizontal="center"/>
    </xf>
    <xf numFmtId="14" fontId="40" fillId="31" borderId="0" xfId="0" applyNumberFormat="1" applyFont="1" applyFill="1" applyAlignment="1">
      <alignment horizontal="center"/>
    </xf>
    <xf numFmtId="3" fontId="39" fillId="31" borderId="0" xfId="0" applyNumberFormat="1" applyFont="1" applyFill="1" applyAlignment="1">
      <alignment horizontal="center"/>
    </xf>
    <xf numFmtId="3" fontId="39" fillId="31" borderId="0" xfId="0" applyNumberFormat="1" applyFont="1" applyFill="1"/>
    <xf numFmtId="14" fontId="40" fillId="31" borderId="0" xfId="0" applyNumberFormat="1" applyFont="1" applyFill="1"/>
    <xf numFmtId="14" fontId="0" fillId="31" borderId="0" xfId="0" applyNumberFormat="1" applyFill="1" applyAlignment="1">
      <alignment horizontal="center"/>
    </xf>
    <xf numFmtId="3" fontId="41" fillId="31" borderId="0" xfId="0" applyNumberFormat="1" applyFont="1" applyFill="1"/>
    <xf numFmtId="14" fontId="0" fillId="31" borderId="0" xfId="0" applyNumberFormat="1" applyFill="1"/>
    <xf numFmtId="3" fontId="40" fillId="31" borderId="0" xfId="0" applyNumberFormat="1" applyFont="1" applyFill="1"/>
    <xf numFmtId="0" fontId="0" fillId="13" borderId="0" xfId="0" applyFill="1" applyAlignment="1">
      <alignment horizontal="center"/>
    </xf>
    <xf numFmtId="3" fontId="42" fillId="41" borderId="0" xfId="0" applyNumberFormat="1" applyFont="1" applyFill="1" applyAlignment="1">
      <alignment horizontal="center"/>
    </xf>
    <xf numFmtId="0" fontId="0" fillId="49" borderId="0" xfId="0" applyFill="1" applyAlignment="1">
      <alignment horizontal="center"/>
    </xf>
    <xf numFmtId="3" fontId="42" fillId="49" borderId="0" xfId="0" applyNumberFormat="1" applyFont="1" applyFill="1" applyAlignment="1">
      <alignment horizontal="center"/>
    </xf>
    <xf numFmtId="3" fontId="39" fillId="49" borderId="0" xfId="0" applyNumberFormat="1" applyFont="1" applyFill="1" applyAlignment="1">
      <alignment horizontal="center"/>
    </xf>
    <xf numFmtId="3" fontId="39" fillId="49" borderId="0" xfId="0" applyNumberFormat="1" applyFont="1" applyFill="1"/>
    <xf numFmtId="3" fontId="41" fillId="15" borderId="0" xfId="0" applyNumberFormat="1" applyFont="1" applyFill="1"/>
    <xf numFmtId="3" fontId="12" fillId="15" borderId="0" xfId="0" applyNumberFormat="1" applyFont="1" applyFill="1"/>
    <xf numFmtId="0" fontId="0" fillId="28" borderId="0" xfId="0" applyFill="1" applyAlignment="1">
      <alignment horizontal="center"/>
    </xf>
    <xf numFmtId="3" fontId="42" fillId="28" borderId="0" xfId="0" applyNumberFormat="1" applyFont="1" applyFill="1" applyAlignment="1">
      <alignment horizontal="center"/>
    </xf>
    <xf numFmtId="3" fontId="39" fillId="28" borderId="0" xfId="0" applyNumberFormat="1" applyFont="1" applyFill="1" applyAlignment="1">
      <alignment horizontal="center"/>
    </xf>
    <xf numFmtId="3" fontId="39" fillId="28" borderId="0" xfId="0" applyNumberFormat="1" applyFont="1" applyFill="1"/>
    <xf numFmtId="3" fontId="39" fillId="27" borderId="0" xfId="0" applyNumberFormat="1" applyFont="1" applyFill="1"/>
    <xf numFmtId="3" fontId="41" fillId="27" borderId="0" xfId="0" applyNumberFormat="1" applyFont="1" applyFill="1"/>
    <xf numFmtId="0" fontId="32" fillId="0" borderId="0" xfId="0" applyFont="1"/>
    <xf numFmtId="3" fontId="40" fillId="0" borderId="0" xfId="0" applyNumberFormat="1" applyFont="1"/>
    <xf numFmtId="3" fontId="0" fillId="9" borderId="0" xfId="0" applyNumberFormat="1" applyFill="1" applyAlignment="1">
      <alignment horizontal="center"/>
    </xf>
    <xf numFmtId="14" fontId="40" fillId="9" borderId="0" xfId="0" applyNumberFormat="1" applyFont="1" applyFill="1" applyAlignment="1">
      <alignment horizontal="center"/>
    </xf>
    <xf numFmtId="14" fontId="40" fillId="50" borderId="0" xfId="0" applyNumberFormat="1" applyFont="1" applyFill="1" applyAlignment="1">
      <alignment horizontal="center"/>
    </xf>
    <xf numFmtId="3" fontId="12" fillId="0" borderId="0" xfId="0" applyNumberFormat="1" applyFont="1"/>
    <xf numFmtId="14" fontId="12" fillId="4" borderId="0" xfId="0" applyNumberFormat="1" applyFont="1" applyFill="1"/>
    <xf numFmtId="0" fontId="0" fillId="25" borderId="0" xfId="0" applyFill="1" applyAlignment="1">
      <alignment horizontal="center"/>
    </xf>
    <xf numFmtId="3" fontId="42" fillId="25" borderId="0" xfId="0" applyNumberFormat="1" applyFont="1" applyFill="1" applyAlignment="1">
      <alignment horizontal="center"/>
    </xf>
    <xf numFmtId="3" fontId="39" fillId="51" borderId="0" xfId="0" applyNumberFormat="1" applyFont="1" applyFill="1" applyAlignment="1">
      <alignment horizontal="center"/>
    </xf>
    <xf numFmtId="3" fontId="39" fillId="51" borderId="0" xfId="0" applyNumberFormat="1" applyFont="1" applyFill="1"/>
    <xf numFmtId="3" fontId="40" fillId="51" borderId="0" xfId="0" applyNumberFormat="1" applyFont="1" applyFill="1"/>
    <xf numFmtId="3" fontId="15" fillId="0" borderId="1" xfId="0" applyNumberFormat="1" applyFont="1" applyBorder="1" applyAlignment="1">
      <alignment horizontal="center"/>
    </xf>
    <xf numFmtId="3" fontId="36" fillId="0" borderId="1" xfId="0" applyNumberFormat="1" applyFont="1" applyBorder="1" applyAlignment="1">
      <alignment horizontal="center"/>
    </xf>
    <xf numFmtId="3" fontId="37" fillId="0" borderId="1" xfId="0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8" fillId="31" borderId="0" xfId="0" applyFont="1" applyFill="1" applyAlignment="1">
      <alignment horizontal="center"/>
    </xf>
    <xf numFmtId="0" fontId="40" fillId="6" borderId="0" xfId="0" applyFont="1" applyFill="1"/>
    <xf numFmtId="0" fontId="39" fillId="6" borderId="0" xfId="0" applyFont="1" applyFill="1"/>
    <xf numFmtId="0" fontId="40" fillId="6" borderId="0" xfId="0" applyFont="1" applyFill="1" applyAlignment="1">
      <alignment horizontal="center"/>
    </xf>
    <xf numFmtId="0" fontId="0" fillId="52" borderId="0" xfId="0" applyFill="1" applyAlignment="1">
      <alignment horizontal="center"/>
    </xf>
    <xf numFmtId="3" fontId="41" fillId="49" borderId="0" xfId="0" applyNumberFormat="1" applyFont="1" applyFill="1"/>
    <xf numFmtId="0" fontId="0" fillId="53" borderId="0" xfId="0" applyFill="1" applyAlignment="1">
      <alignment horizontal="center"/>
    </xf>
    <xf numFmtId="14" fontId="40" fillId="15" borderId="0" xfId="0" applyNumberFormat="1" applyFont="1" applyFill="1" applyAlignment="1">
      <alignment horizontal="center"/>
    </xf>
    <xf numFmtId="3" fontId="39" fillId="15" borderId="0" xfId="0" applyNumberFormat="1" applyFont="1" applyFill="1"/>
    <xf numFmtId="14" fontId="40" fillId="15" borderId="0" xfId="0" applyNumberFormat="1" applyFont="1" applyFill="1"/>
    <xf numFmtId="0" fontId="40" fillId="33" borderId="0" xfId="0" applyFont="1" applyFill="1" applyAlignment="1">
      <alignment horizontal="left"/>
    </xf>
    <xf numFmtId="3" fontId="42" fillId="13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14" fontId="40" fillId="6" borderId="0" xfId="0" applyNumberFormat="1" applyFont="1" applyFill="1"/>
    <xf numFmtId="14" fontId="39" fillId="6" borderId="0" xfId="0" applyNumberFormat="1" applyFont="1" applyFill="1"/>
    <xf numFmtId="0" fontId="12" fillId="23" borderId="0" xfId="0" applyFont="1" applyFill="1" applyAlignment="1">
      <alignment horizontal="center"/>
    </xf>
    <xf numFmtId="3" fontId="34" fillId="0" borderId="0" xfId="0" applyNumberFormat="1" applyFont="1" applyAlignment="1">
      <alignment horizontal="center"/>
    </xf>
    <xf numFmtId="3" fontId="46" fillId="30" borderId="0" xfId="0" applyNumberFormat="1" applyFont="1" applyFill="1"/>
    <xf numFmtId="0" fontId="0" fillId="21" borderId="0" xfId="0" applyFill="1" applyAlignment="1">
      <alignment horizontal="center"/>
    </xf>
    <xf numFmtId="3" fontId="42" fillId="21" borderId="0" xfId="0" applyNumberFormat="1" applyFont="1" applyFill="1" applyAlignment="1">
      <alignment horizontal="center"/>
    </xf>
    <xf numFmtId="3" fontId="39" fillId="21" borderId="0" xfId="0" applyNumberFormat="1" applyFont="1" applyFill="1" applyAlignment="1">
      <alignment horizontal="center"/>
    </xf>
    <xf numFmtId="3" fontId="39" fillId="16" borderId="0" xfId="0" applyNumberFormat="1" applyFont="1" applyFill="1" applyAlignment="1">
      <alignment horizontal="center" vertical="center"/>
    </xf>
    <xf numFmtId="0" fontId="0" fillId="54" borderId="0" xfId="0" applyFill="1" applyAlignment="1">
      <alignment horizontal="center"/>
    </xf>
    <xf numFmtId="3" fontId="47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28" fillId="0" borderId="0" xfId="0" applyFont="1"/>
    <xf numFmtId="0" fontId="50" fillId="0" borderId="0" xfId="0" applyFont="1" applyAlignment="1">
      <alignment horizontal="center"/>
    </xf>
    <xf numFmtId="0" fontId="32" fillId="5" borderId="0" xfId="0" applyFont="1" applyFill="1" applyAlignment="1">
      <alignment horizontal="center" vertical="center"/>
    </xf>
    <xf numFmtId="3" fontId="49" fillId="5" borderId="0" xfId="0" applyNumberFormat="1" applyFont="1" applyFill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3" fontId="49" fillId="5" borderId="0" xfId="0" applyNumberFormat="1" applyFont="1" applyFill="1" applyAlignment="1">
      <alignment horizontal="center"/>
    </xf>
    <xf numFmtId="3" fontId="18" fillId="5" borderId="0" xfId="0" applyNumberFormat="1" applyFont="1" applyFill="1"/>
    <xf numFmtId="3" fontId="34" fillId="5" borderId="0" xfId="0" applyNumberFormat="1" applyFont="1" applyFill="1"/>
    <xf numFmtId="3" fontId="23" fillId="5" borderId="0" xfId="0" applyNumberFormat="1" applyFont="1" applyFill="1"/>
    <xf numFmtId="3" fontId="28" fillId="5" borderId="0" xfId="0" applyNumberFormat="1" applyFont="1" applyFill="1"/>
    <xf numFmtId="0" fontId="31" fillId="16" borderId="0" xfId="0" applyFont="1" applyFill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3" fontId="49" fillId="16" borderId="0" xfId="0" applyNumberFormat="1" applyFont="1" applyFill="1" applyAlignment="1">
      <alignment horizontal="center" vertical="center"/>
    </xf>
    <xf numFmtId="3" fontId="49" fillId="16" borderId="0" xfId="0" applyNumberFormat="1" applyFont="1" applyFill="1" applyAlignment="1">
      <alignment horizontal="center"/>
    </xf>
    <xf numFmtId="3" fontId="34" fillId="16" borderId="0" xfId="0" applyNumberFormat="1" applyFont="1" applyFill="1"/>
    <xf numFmtId="3" fontId="49" fillId="6" borderId="0" xfId="0" applyNumberFormat="1" applyFont="1" applyFill="1" applyAlignment="1">
      <alignment horizontal="center" vertical="center"/>
    </xf>
    <xf numFmtId="3" fontId="49" fillId="6" borderId="0" xfId="0" applyNumberFormat="1" applyFont="1" applyFill="1" applyAlignment="1">
      <alignment horizontal="center"/>
    </xf>
    <xf numFmtId="3" fontId="34" fillId="6" borderId="0" xfId="0" applyNumberFormat="1" applyFont="1" applyFill="1"/>
    <xf numFmtId="0" fontId="32" fillId="15" borderId="0" xfId="0" applyFont="1" applyFill="1" applyAlignment="1">
      <alignment horizontal="center" vertical="center"/>
    </xf>
    <xf numFmtId="3" fontId="49" fillId="15" borderId="0" xfId="0" applyNumberFormat="1" applyFont="1" applyFill="1" applyAlignment="1">
      <alignment horizontal="center" vertical="center"/>
    </xf>
    <xf numFmtId="3" fontId="49" fillId="15" borderId="0" xfId="0" applyNumberFormat="1" applyFont="1" applyFill="1" applyAlignment="1">
      <alignment horizontal="center"/>
    </xf>
    <xf numFmtId="3" fontId="18" fillId="15" borderId="0" xfId="0" applyNumberFormat="1" applyFont="1" applyFill="1"/>
    <xf numFmtId="3" fontId="34" fillId="0" borderId="0" xfId="0" applyNumberFormat="1" applyFont="1"/>
    <xf numFmtId="15" fontId="18" fillId="0" borderId="0" xfId="0" applyNumberFormat="1" applyFont="1" applyAlignment="1">
      <alignment horizontal="center" vertical="center"/>
    </xf>
    <xf numFmtId="3" fontId="49" fillId="15" borderId="0" xfId="0" applyNumberFormat="1" applyFont="1" applyFill="1"/>
    <xf numFmtId="3" fontId="28" fillId="15" borderId="0" xfId="0" applyNumberFormat="1" applyFont="1" applyFill="1"/>
    <xf numFmtId="0" fontId="18" fillId="25" borderId="0" xfId="0" applyFont="1" applyFill="1" applyAlignment="1">
      <alignment horizontal="center"/>
    </xf>
    <xf numFmtId="3" fontId="49" fillId="25" borderId="0" xfId="0" applyNumberFormat="1" applyFont="1" applyFill="1" applyAlignment="1">
      <alignment horizontal="center" vertical="center"/>
    </xf>
    <xf numFmtId="3" fontId="49" fillId="25" borderId="0" xfId="0" applyNumberFormat="1" applyFont="1" applyFill="1" applyAlignment="1">
      <alignment horizontal="center"/>
    </xf>
    <xf numFmtId="3" fontId="23" fillId="25" borderId="0" xfId="0" applyNumberFormat="1" applyFont="1" applyFill="1"/>
    <xf numFmtId="3" fontId="34" fillId="7" borderId="0" xfId="0" applyNumberFormat="1" applyFont="1" applyFill="1"/>
    <xf numFmtId="0" fontId="18" fillId="15" borderId="0" xfId="0" applyFont="1" applyFill="1" applyAlignment="1">
      <alignment horizontal="center"/>
    </xf>
    <xf numFmtId="3" fontId="49" fillId="0" borderId="0" xfId="0" applyNumberFormat="1" applyFont="1" applyAlignment="1">
      <alignment horizontal="center"/>
    </xf>
    <xf numFmtId="3" fontId="23" fillId="0" borderId="0" xfId="0" applyNumberFormat="1" applyFont="1"/>
    <xf numFmtId="3" fontId="23" fillId="6" borderId="0" xfId="0" applyNumberFormat="1" applyFont="1" applyFill="1"/>
    <xf numFmtId="0" fontId="31" fillId="55" borderId="0" xfId="0" applyFont="1" applyFill="1" applyAlignment="1">
      <alignment horizontal="center"/>
    </xf>
    <xf numFmtId="3" fontId="49" fillId="55" borderId="0" xfId="0" applyNumberFormat="1" applyFont="1" applyFill="1" applyAlignment="1">
      <alignment horizontal="center" vertical="center"/>
    </xf>
    <xf numFmtId="3" fontId="49" fillId="55" borderId="0" xfId="0" applyNumberFormat="1" applyFont="1" applyFill="1" applyAlignment="1">
      <alignment horizontal="center"/>
    </xf>
    <xf numFmtId="3" fontId="23" fillId="55" borderId="0" xfId="0" applyNumberFormat="1" applyFont="1" applyFill="1"/>
    <xf numFmtId="15" fontId="18" fillId="6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left"/>
    </xf>
    <xf numFmtId="3" fontId="34" fillId="20" borderId="0" xfId="0" applyNumberFormat="1" applyFont="1" applyFill="1"/>
    <xf numFmtId="0" fontId="18" fillId="24" borderId="0" xfId="0" applyFont="1" applyFill="1" applyAlignment="1">
      <alignment horizontal="center"/>
    </xf>
    <xf numFmtId="15" fontId="18" fillId="24" borderId="0" xfId="0" applyNumberFormat="1" applyFont="1" applyFill="1" applyAlignment="1">
      <alignment horizontal="center" vertical="center"/>
    </xf>
    <xf numFmtId="3" fontId="49" fillId="33" borderId="0" xfId="0" applyNumberFormat="1" applyFont="1" applyFill="1" applyAlignment="1">
      <alignment horizontal="center" vertical="center"/>
    </xf>
    <xf numFmtId="3" fontId="49" fillId="2" borderId="0" xfId="0" applyNumberFormat="1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center" vertical="center"/>
    </xf>
    <xf numFmtId="3" fontId="49" fillId="2" borderId="0" xfId="0" applyNumberFormat="1" applyFont="1" applyFill="1" applyAlignment="1">
      <alignment horizontal="center"/>
    </xf>
    <xf numFmtId="3" fontId="34" fillId="2" borderId="0" xfId="0" applyNumberFormat="1" applyFont="1" applyFill="1"/>
    <xf numFmtId="0" fontId="18" fillId="23" borderId="0" xfId="0" applyFont="1" applyFill="1" applyAlignment="1">
      <alignment horizontal="center" vertical="center"/>
    </xf>
    <xf numFmtId="3" fontId="49" fillId="23" borderId="0" xfId="0" applyNumberFormat="1" applyFont="1" applyFill="1" applyAlignment="1">
      <alignment horizontal="center" vertical="center"/>
    </xf>
    <xf numFmtId="3" fontId="49" fillId="38" borderId="0" xfId="0" applyNumberFormat="1" applyFont="1" applyFill="1" applyAlignment="1">
      <alignment horizontal="center"/>
    </xf>
    <xf numFmtId="3" fontId="34" fillId="38" borderId="0" xfId="0" applyNumberFormat="1" applyFont="1" applyFill="1"/>
    <xf numFmtId="14" fontId="18" fillId="31" borderId="0" xfId="0" applyNumberFormat="1" applyFont="1" applyFill="1" applyAlignment="1">
      <alignment horizontal="center" vertical="center"/>
    </xf>
    <xf numFmtId="0" fontId="51" fillId="0" borderId="0" xfId="0" applyFont="1" applyAlignment="1">
      <alignment horizontal="left"/>
    </xf>
    <xf numFmtId="3" fontId="49" fillId="31" borderId="0" xfId="0" applyNumberFormat="1" applyFont="1" applyFill="1" applyAlignment="1">
      <alignment horizontal="center" vertical="center"/>
    </xf>
    <xf numFmtId="3" fontId="49" fillId="31" borderId="0" xfId="0" applyNumberFormat="1" applyFont="1" applyFill="1" applyAlignment="1">
      <alignment horizontal="center"/>
    </xf>
    <xf numFmtId="3" fontId="34" fillId="31" borderId="0" xfId="0" applyNumberFormat="1" applyFont="1" applyFill="1"/>
    <xf numFmtId="3" fontId="18" fillId="31" borderId="0" xfId="0" applyNumberFormat="1" applyFont="1" applyFill="1"/>
    <xf numFmtId="0" fontId="18" fillId="41" borderId="0" xfId="0" applyFont="1" applyFill="1" applyAlignment="1">
      <alignment horizontal="center"/>
    </xf>
    <xf numFmtId="0" fontId="18" fillId="0" borderId="0" xfId="0" applyFont="1" applyAlignment="1">
      <alignment horizontal="center" vertical="top"/>
    </xf>
    <xf numFmtId="3" fontId="49" fillId="41" borderId="0" xfId="0" applyNumberFormat="1" applyFont="1" applyFill="1" applyAlignment="1">
      <alignment horizontal="center"/>
    </xf>
    <xf numFmtId="3" fontId="49" fillId="41" borderId="0" xfId="0" applyNumberFormat="1" applyFont="1" applyFill="1" applyAlignment="1">
      <alignment horizontal="center" vertical="center"/>
    </xf>
    <xf numFmtId="3" fontId="52" fillId="41" borderId="0" xfId="0" applyNumberFormat="1" applyFont="1" applyFill="1"/>
    <xf numFmtId="3" fontId="52" fillId="52" borderId="0" xfId="0" applyNumberFormat="1" applyFont="1" applyFill="1"/>
    <xf numFmtId="0" fontId="18" fillId="4" borderId="0" xfId="0" applyFont="1" applyFill="1"/>
    <xf numFmtId="3" fontId="28" fillId="4" borderId="0" xfId="0" applyNumberFormat="1" applyFont="1" applyFill="1"/>
    <xf numFmtId="0" fontId="18" fillId="8" borderId="0" xfId="0" applyFont="1" applyFill="1"/>
    <xf numFmtId="3" fontId="50" fillId="0" borderId="0" xfId="0" applyNumberFormat="1" applyFont="1" applyAlignment="1">
      <alignment horizontal="center"/>
    </xf>
    <xf numFmtId="0" fontId="18" fillId="10" borderId="0" xfId="0" applyFont="1" applyFill="1" applyAlignment="1">
      <alignment horizontal="center"/>
    </xf>
    <xf numFmtId="3" fontId="49" fillId="10" borderId="0" xfId="0" applyNumberFormat="1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3" fontId="49" fillId="36" borderId="0" xfId="0" applyNumberFormat="1" applyFont="1" applyFill="1" applyAlignment="1">
      <alignment horizontal="center"/>
    </xf>
    <xf numFmtId="0" fontId="18" fillId="26" borderId="0" xfId="0" applyFont="1" applyFill="1" applyAlignment="1">
      <alignment horizontal="center"/>
    </xf>
    <xf numFmtId="14" fontId="18" fillId="6" borderId="0" xfId="0" applyNumberFormat="1" applyFont="1" applyFill="1" applyAlignment="1">
      <alignment horizontal="center"/>
    </xf>
    <xf numFmtId="0" fontId="18" fillId="34" borderId="0" xfId="0" applyFont="1" applyFill="1"/>
    <xf numFmtId="3" fontId="49" fillId="26" borderId="0" xfId="0" applyNumberFormat="1" applyFont="1" applyFill="1" applyAlignment="1">
      <alignment horizontal="center"/>
    </xf>
    <xf numFmtId="0" fontId="18" fillId="56" borderId="0" xfId="0" applyFont="1" applyFill="1" applyAlignment="1">
      <alignment horizontal="center"/>
    </xf>
    <xf numFmtId="0" fontId="18" fillId="52" borderId="0" xfId="0" applyFont="1" applyFill="1" applyAlignment="1">
      <alignment horizontal="center"/>
    </xf>
    <xf numFmtId="3" fontId="49" fillId="57" borderId="0" xfId="0" applyNumberFormat="1" applyFont="1" applyFill="1" applyAlignment="1">
      <alignment horizontal="center"/>
    </xf>
    <xf numFmtId="3" fontId="18" fillId="57" borderId="0" xfId="0" applyNumberFormat="1" applyFont="1" applyFill="1"/>
    <xf numFmtId="0" fontId="18" fillId="28" borderId="0" xfId="0" applyFont="1" applyFill="1" applyAlignment="1">
      <alignment horizontal="center" vertical="center"/>
    </xf>
    <xf numFmtId="3" fontId="49" fillId="27" borderId="0" xfId="0" applyNumberFormat="1" applyFont="1" applyFill="1" applyAlignment="1">
      <alignment horizontal="center" vertical="center"/>
    </xf>
    <xf numFmtId="3" fontId="49" fillId="27" borderId="0" xfId="0" applyNumberFormat="1" applyFont="1" applyFill="1" applyAlignment="1">
      <alignment horizontal="center"/>
    </xf>
    <xf numFmtId="3" fontId="34" fillId="27" borderId="0" xfId="0" applyNumberFormat="1" applyFont="1" applyFill="1"/>
    <xf numFmtId="3" fontId="34" fillId="58" borderId="0" xfId="0" applyNumberFormat="1" applyFont="1" applyFill="1"/>
    <xf numFmtId="3" fontId="28" fillId="58" borderId="0" xfId="0" applyNumberFormat="1" applyFont="1" applyFill="1"/>
    <xf numFmtId="3" fontId="18" fillId="58" borderId="0" xfId="0" applyNumberFormat="1" applyFont="1" applyFill="1"/>
    <xf numFmtId="3" fontId="18" fillId="28" borderId="0" xfId="0" applyNumberFormat="1" applyFont="1" applyFill="1"/>
    <xf numFmtId="3" fontId="28" fillId="6" borderId="0" xfId="0" applyNumberFormat="1" applyFont="1" applyFill="1"/>
    <xf numFmtId="14" fontId="28" fillId="0" borderId="0" xfId="0" applyNumberFormat="1" applyFont="1"/>
    <xf numFmtId="3" fontId="18" fillId="6" borderId="0" xfId="0" applyNumberFormat="1" applyFont="1" applyFill="1"/>
    <xf numFmtId="0" fontId="18" fillId="33" borderId="0" xfId="0" applyFont="1" applyFill="1" applyAlignment="1">
      <alignment horizontal="center" vertical="center"/>
    </xf>
    <xf numFmtId="3" fontId="34" fillId="11" borderId="0" xfId="0" applyNumberFormat="1" applyFont="1" applyFill="1"/>
    <xf numFmtId="14" fontId="34" fillId="0" borderId="0" xfId="0" applyNumberFormat="1" applyFont="1"/>
    <xf numFmtId="3" fontId="28" fillId="11" borderId="0" xfId="0" applyNumberFormat="1" applyFont="1" applyFill="1"/>
    <xf numFmtId="3" fontId="18" fillId="11" borderId="0" xfId="0" applyNumberFormat="1" applyFont="1" applyFill="1"/>
    <xf numFmtId="3" fontId="18" fillId="10" borderId="0" xfId="0" applyNumberFormat="1" applyFont="1" applyFill="1"/>
    <xf numFmtId="14" fontId="23" fillId="7" borderId="0" xfId="0" applyNumberFormat="1" applyFont="1" applyFill="1" applyAlignment="1">
      <alignment horizontal="center" vertical="center"/>
    </xf>
    <xf numFmtId="3" fontId="49" fillId="7" borderId="0" xfId="0" applyNumberFormat="1" applyFont="1" applyFill="1" applyAlignment="1">
      <alignment horizontal="center" vertical="center"/>
    </xf>
    <xf numFmtId="3" fontId="28" fillId="0" borderId="0" xfId="0" applyNumberFormat="1" applyFont="1"/>
    <xf numFmtId="3" fontId="49" fillId="7" borderId="0" xfId="0" applyNumberFormat="1" applyFont="1" applyFill="1" applyAlignment="1">
      <alignment horizontal="center"/>
    </xf>
    <xf numFmtId="3" fontId="49" fillId="23" borderId="0" xfId="0" applyNumberFormat="1" applyFont="1" applyFill="1" applyAlignment="1">
      <alignment horizontal="center"/>
    </xf>
    <xf numFmtId="3" fontId="34" fillId="23" borderId="0" xfId="0" applyNumberFormat="1" applyFont="1" applyFill="1"/>
    <xf numFmtId="0" fontId="18" fillId="8" borderId="0" xfId="0" applyFont="1" applyFill="1" applyAlignment="1">
      <alignment horizontal="center"/>
    </xf>
    <xf numFmtId="3" fontId="49" fillId="8" borderId="0" xfId="0" applyNumberFormat="1" applyFont="1" applyFill="1" applyAlignment="1">
      <alignment horizontal="center"/>
    </xf>
    <xf numFmtId="3" fontId="18" fillId="8" borderId="0" xfId="0" applyNumberFormat="1" applyFont="1" applyFill="1"/>
    <xf numFmtId="0" fontId="32" fillId="5" borderId="0" xfId="0" applyFont="1" applyFill="1" applyAlignment="1">
      <alignment horizontal="center"/>
    </xf>
    <xf numFmtId="15" fontId="0" fillId="6" borderId="0" xfId="0" applyNumberFormat="1" applyFill="1" applyAlignment="1">
      <alignment horizontal="center"/>
    </xf>
    <xf numFmtId="0" fontId="12" fillId="8" borderId="0" xfId="0" applyFont="1" applyFill="1" applyAlignment="1">
      <alignment horizontal="left"/>
    </xf>
    <xf numFmtId="3" fontId="40" fillId="0" borderId="0" xfId="0" applyNumberFormat="1" applyFont="1" applyAlignment="1">
      <alignment horizontal="center"/>
    </xf>
    <xf numFmtId="3" fontId="40" fillId="5" borderId="0" xfId="0" applyNumberFormat="1" applyFont="1" applyFill="1" applyAlignment="1">
      <alignment horizontal="center"/>
    </xf>
    <xf numFmtId="14" fontId="39" fillId="0" borderId="0" xfId="0" applyNumberFormat="1" applyFont="1" applyAlignment="1">
      <alignment horizontal="center"/>
    </xf>
    <xf numFmtId="14" fontId="39" fillId="0" borderId="0" xfId="0" applyNumberFormat="1" applyFont="1"/>
    <xf numFmtId="3" fontId="0" fillId="5" borderId="0" xfId="0" applyNumberFormat="1" applyFill="1" applyAlignment="1">
      <alignment horizontal="center"/>
    </xf>
    <xf numFmtId="3" fontId="0" fillId="20" borderId="0" xfId="0" applyNumberFormat="1" applyFill="1"/>
    <xf numFmtId="3" fontId="0" fillId="5" borderId="0" xfId="0" applyNumberFormat="1" applyFill="1"/>
    <xf numFmtId="3" fontId="12" fillId="5" borderId="0" xfId="0" applyNumberFormat="1" applyFont="1" applyFill="1"/>
    <xf numFmtId="3" fontId="49" fillId="4" borderId="0" xfId="0" applyNumberFormat="1" applyFont="1" applyFill="1" applyAlignment="1">
      <alignment horizontal="center"/>
    </xf>
    <xf numFmtId="0" fontId="18" fillId="49" borderId="0" xfId="0" applyFont="1" applyFill="1" applyAlignment="1">
      <alignment horizontal="center"/>
    </xf>
    <xf numFmtId="15" fontId="18" fillId="6" borderId="0" xfId="0" applyNumberFormat="1" applyFont="1" applyFill="1" applyAlignment="1">
      <alignment horizontal="center"/>
    </xf>
    <xf numFmtId="3" fontId="49" fillId="49" borderId="0" xfId="0" applyNumberFormat="1" applyFont="1" applyFill="1" applyAlignment="1">
      <alignment horizontal="center"/>
    </xf>
    <xf numFmtId="0" fontId="18" fillId="51" borderId="0" xfId="0" applyFont="1" applyFill="1" applyAlignment="1">
      <alignment horizontal="center"/>
    </xf>
    <xf numFmtId="3" fontId="49" fillId="51" borderId="0" xfId="0" applyNumberFormat="1" applyFont="1" applyFill="1" applyAlignment="1">
      <alignment horizontal="center"/>
    </xf>
    <xf numFmtId="3" fontId="18" fillId="51" borderId="0" xfId="0" applyNumberFormat="1" applyFont="1" applyFill="1"/>
    <xf numFmtId="3" fontId="49" fillId="24" borderId="0" xfId="0" applyNumberFormat="1" applyFont="1" applyFill="1" applyAlignment="1">
      <alignment horizontal="center"/>
    </xf>
    <xf numFmtId="3" fontId="18" fillId="24" borderId="0" xfId="0" applyNumberFormat="1" applyFont="1" applyFill="1"/>
    <xf numFmtId="0" fontId="18" fillId="35" borderId="0" xfId="0" applyFont="1" applyFill="1" applyAlignment="1">
      <alignment horizontal="center"/>
    </xf>
    <xf numFmtId="3" fontId="18" fillId="36" borderId="0" xfId="0" applyNumberFormat="1" applyFont="1" applyFill="1" applyAlignment="1">
      <alignment horizontal="center"/>
    </xf>
    <xf numFmtId="3" fontId="49" fillId="35" borderId="0" xfId="0" applyNumberFormat="1" applyFont="1" applyFill="1" applyAlignment="1">
      <alignment horizontal="center"/>
    </xf>
    <xf numFmtId="14" fontId="18" fillId="36" borderId="0" xfId="0" applyNumberFormat="1" applyFont="1" applyFill="1"/>
    <xf numFmtId="0" fontId="18" fillId="18" borderId="0" xfId="0" applyFont="1" applyFill="1" applyAlignment="1">
      <alignment horizontal="center"/>
    </xf>
    <xf numFmtId="3" fontId="49" fillId="18" borderId="0" xfId="0" applyNumberFormat="1" applyFont="1" applyFill="1" applyAlignment="1">
      <alignment horizontal="center"/>
    </xf>
    <xf numFmtId="3" fontId="18" fillId="23" borderId="0" xfId="0" applyNumberFormat="1" applyFont="1" applyFill="1"/>
    <xf numFmtId="0" fontId="18" fillId="59" borderId="0" xfId="0" applyFont="1" applyFill="1" applyAlignment="1">
      <alignment horizontal="center" vertical="center"/>
    </xf>
    <xf numFmtId="3" fontId="49" fillId="38" borderId="0" xfId="0" applyNumberFormat="1" applyFont="1" applyFill="1" applyAlignment="1">
      <alignment horizontal="center" vertical="center"/>
    </xf>
    <xf numFmtId="3" fontId="18" fillId="38" borderId="0" xfId="0" applyNumberFormat="1" applyFont="1" applyFill="1"/>
    <xf numFmtId="0" fontId="18" fillId="4" borderId="0" xfId="0" applyFont="1" applyFill="1" applyAlignment="1">
      <alignment horizontal="right"/>
    </xf>
    <xf numFmtId="3" fontId="49" fillId="44" borderId="0" xfId="0" applyNumberFormat="1" applyFont="1" applyFill="1" applyAlignment="1">
      <alignment horizontal="center"/>
    </xf>
    <xf numFmtId="0" fontId="18" fillId="30" borderId="0" xfId="0" applyFont="1" applyFill="1" applyAlignment="1">
      <alignment horizontal="center" vertical="center"/>
    </xf>
    <xf numFmtId="3" fontId="49" fillId="30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49" fillId="6" borderId="0" xfId="0" applyFont="1" applyFill="1" applyAlignment="1">
      <alignment horizontal="center" vertical="center"/>
    </xf>
    <xf numFmtId="0" fontId="18" fillId="49" borderId="0" xfId="0" applyFont="1" applyFill="1" applyAlignment="1">
      <alignment horizontal="center" vertical="center"/>
    </xf>
    <xf numFmtId="3" fontId="49" fillId="52" borderId="0" xfId="0" applyNumberFormat="1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3" fontId="49" fillId="33" borderId="0" xfId="0" applyNumberFormat="1" applyFont="1" applyFill="1" applyAlignment="1">
      <alignment horizontal="center"/>
    </xf>
    <xf numFmtId="14" fontId="18" fillId="33" borderId="0" xfId="0" applyNumberFormat="1" applyFont="1" applyFill="1"/>
    <xf numFmtId="3" fontId="49" fillId="60" borderId="0" xfId="0" applyNumberFormat="1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3" fontId="18" fillId="19" borderId="0" xfId="0" applyNumberFormat="1" applyFont="1" applyFill="1"/>
    <xf numFmtId="0" fontId="18" fillId="61" borderId="0" xfId="0" applyFont="1" applyFill="1" applyAlignment="1">
      <alignment horizontal="center" vertical="center"/>
    </xf>
    <xf numFmtId="3" fontId="49" fillId="61" borderId="0" xfId="0" applyNumberFormat="1" applyFont="1" applyFill="1" applyAlignment="1">
      <alignment horizontal="center" vertical="center"/>
    </xf>
    <xf numFmtId="3" fontId="49" fillId="4" borderId="0" xfId="0" applyNumberFormat="1" applyFont="1" applyFill="1" applyAlignment="1">
      <alignment horizontal="center" vertical="center"/>
    </xf>
    <xf numFmtId="3" fontId="49" fillId="36" borderId="0" xfId="0" applyNumberFormat="1" applyFont="1" applyFill="1" applyAlignment="1">
      <alignment horizontal="center" vertical="center"/>
    </xf>
    <xf numFmtId="3" fontId="49" fillId="19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58" borderId="0" xfId="0" applyFont="1" applyFill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3" fontId="49" fillId="17" borderId="0" xfId="0" applyNumberFormat="1" applyFont="1" applyFill="1" applyAlignment="1">
      <alignment horizontal="center" vertical="center"/>
    </xf>
    <xf numFmtId="0" fontId="23" fillId="38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3" fontId="18" fillId="0" borderId="2" xfId="0" applyNumberFormat="1" applyFont="1" applyBorder="1" applyAlignment="1">
      <alignment horizontal="center"/>
    </xf>
    <xf numFmtId="3" fontId="49" fillId="23" borderId="2" xfId="0" applyNumberFormat="1" applyFont="1" applyFill="1" applyBorder="1" applyAlignment="1">
      <alignment horizontal="center"/>
    </xf>
    <xf numFmtId="3" fontId="26" fillId="0" borderId="2" xfId="0" applyNumberFormat="1" applyFont="1" applyBorder="1" applyAlignment="1">
      <alignment horizontal="center"/>
    </xf>
    <xf numFmtId="0" fontId="49" fillId="7" borderId="0" xfId="0" applyFont="1" applyFill="1" applyAlignment="1">
      <alignment horizontal="center"/>
    </xf>
    <xf numFmtId="0" fontId="18" fillId="28" borderId="0" xfId="0" applyFont="1" applyFill="1" applyAlignment="1">
      <alignment horizontal="center"/>
    </xf>
    <xf numFmtId="4" fontId="50" fillId="0" borderId="0" xfId="0" applyNumberFormat="1" applyFont="1" applyAlignment="1">
      <alignment horizontal="center"/>
    </xf>
    <xf numFmtId="3" fontId="49" fillId="62" borderId="0" xfId="0" applyNumberFormat="1" applyFont="1" applyFill="1" applyAlignment="1">
      <alignment horizontal="center" vertical="center"/>
    </xf>
    <xf numFmtId="3" fontId="49" fillId="62" borderId="0" xfId="0" applyNumberFormat="1" applyFont="1" applyFill="1" applyAlignment="1">
      <alignment horizontal="center"/>
    </xf>
    <xf numFmtId="3" fontId="34" fillId="62" borderId="0" xfId="0" applyNumberFormat="1" applyFont="1" applyFill="1"/>
    <xf numFmtId="0" fontId="18" fillId="63" borderId="0" xfId="0" applyFont="1" applyFill="1" applyAlignment="1">
      <alignment horizontal="center"/>
    </xf>
    <xf numFmtId="0" fontId="32" fillId="23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3" fontId="42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3" fontId="40" fillId="23" borderId="0" xfId="0" applyNumberFormat="1" applyFont="1" applyFill="1" applyAlignment="1">
      <alignment horizontal="center" vertical="center"/>
    </xf>
    <xf numFmtId="3" fontId="40" fillId="23" borderId="0" xfId="0" applyNumberFormat="1" applyFont="1" applyFill="1" applyAlignment="1">
      <alignment horizontal="center"/>
    </xf>
    <xf numFmtId="3" fontId="40" fillId="23" borderId="0" xfId="0" applyNumberFormat="1" applyFont="1" applyFill="1"/>
    <xf numFmtId="3" fontId="12" fillId="23" borderId="0" xfId="0" applyNumberFormat="1" applyFont="1" applyFill="1"/>
    <xf numFmtId="14" fontId="12" fillId="4" borderId="0" xfId="0" applyNumberFormat="1" applyFont="1" applyFill="1" applyAlignment="1">
      <alignment horizontal="right"/>
    </xf>
    <xf numFmtId="3" fontId="40" fillId="4" borderId="0" xfId="0" applyNumberFormat="1" applyFont="1" applyFill="1"/>
    <xf numFmtId="0" fontId="40" fillId="0" borderId="0" xfId="0" applyFont="1" applyAlignment="1">
      <alignment horizontal="left"/>
    </xf>
    <xf numFmtId="0" fontId="12" fillId="32" borderId="0" xfId="0" applyFont="1" applyFill="1" applyAlignment="1">
      <alignment horizontal="center"/>
    </xf>
    <xf numFmtId="3" fontId="42" fillId="32" borderId="0" xfId="0" applyNumberFormat="1" applyFont="1" applyFill="1" applyAlignment="1">
      <alignment horizontal="center" vertical="center"/>
    </xf>
    <xf numFmtId="3" fontId="40" fillId="32" borderId="0" xfId="0" applyNumberFormat="1" applyFont="1" applyFill="1" applyAlignment="1">
      <alignment horizontal="center" vertical="center"/>
    </xf>
    <xf numFmtId="14" fontId="32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3" fontId="41" fillId="0" borderId="0" xfId="0" applyNumberFormat="1" applyFont="1" applyAlignment="1">
      <alignment horizontal="center" vertical="center"/>
    </xf>
    <xf numFmtId="3" fontId="41" fillId="0" borderId="0" xfId="0" applyNumberFormat="1" applyFont="1" applyAlignment="1">
      <alignment horizontal="center"/>
    </xf>
    <xf numFmtId="3" fontId="0" fillId="64" borderId="0" xfId="0" applyNumberFormat="1" applyFill="1" applyAlignment="1">
      <alignment horizontal="center"/>
    </xf>
    <xf numFmtId="3" fontId="57" fillId="0" borderId="0" xfId="0" applyNumberFormat="1" applyFont="1" applyAlignment="1">
      <alignment horizontal="center"/>
    </xf>
    <xf numFmtId="3" fontId="41" fillId="25" borderId="0" xfId="0" applyNumberFormat="1" applyFont="1" applyFill="1"/>
    <xf numFmtId="14" fontId="0" fillId="64" borderId="0" xfId="0" applyNumberFormat="1" applyFill="1"/>
    <xf numFmtId="3" fontId="0" fillId="25" borderId="0" xfId="0" applyNumberFormat="1" applyFill="1"/>
    <xf numFmtId="0" fontId="0" fillId="18" borderId="0" xfId="0" applyFill="1" applyAlignment="1">
      <alignment horizontal="center"/>
    </xf>
    <xf numFmtId="3" fontId="42" fillId="18" borderId="0" xfId="0" applyNumberFormat="1" applyFont="1" applyFill="1" applyAlignment="1">
      <alignment horizontal="center"/>
    </xf>
    <xf numFmtId="3" fontId="41" fillId="18" borderId="0" xfId="0" applyNumberFormat="1" applyFont="1" applyFill="1"/>
    <xf numFmtId="3" fontId="0" fillId="18" borderId="0" xfId="0" applyNumberFormat="1" applyFill="1"/>
    <xf numFmtId="3" fontId="41" fillId="5" borderId="0" xfId="0" applyNumberFormat="1" applyFont="1" applyFill="1"/>
    <xf numFmtId="0" fontId="0" fillId="25" borderId="0" xfId="0" applyFill="1" applyAlignment="1">
      <alignment horizontal="center" vertical="center"/>
    </xf>
    <xf numFmtId="3" fontId="42" fillId="25" borderId="0" xfId="0" applyNumberFormat="1" applyFont="1" applyFill="1" applyAlignment="1">
      <alignment horizontal="center" vertical="center"/>
    </xf>
    <xf numFmtId="3" fontId="41" fillId="25" borderId="0" xfId="0" applyNumberFormat="1" applyFont="1" applyFill="1" applyAlignment="1">
      <alignment horizontal="center" vertical="center"/>
    </xf>
    <xf numFmtId="3" fontId="41" fillId="25" borderId="0" xfId="0" applyNumberFormat="1" applyFont="1" applyFill="1" applyAlignment="1">
      <alignment horizontal="center"/>
    </xf>
    <xf numFmtId="3" fontId="12" fillId="25" borderId="0" xfId="0" applyNumberFormat="1" applyFont="1" applyFill="1"/>
    <xf numFmtId="0" fontId="0" fillId="16" borderId="0" xfId="0" applyFill="1" applyAlignment="1">
      <alignment horizontal="center" vertical="center"/>
    </xf>
    <xf numFmtId="3" fontId="42" fillId="16" borderId="0" xfId="0" applyNumberFormat="1" applyFont="1" applyFill="1" applyAlignment="1">
      <alignment horizontal="center" vertical="center"/>
    </xf>
    <xf numFmtId="3" fontId="40" fillId="16" borderId="0" xfId="0" applyNumberFormat="1" applyFont="1" applyFill="1" applyAlignment="1">
      <alignment horizontal="center" vertical="center"/>
    </xf>
    <xf numFmtId="3" fontId="41" fillId="16" borderId="0" xfId="0" applyNumberFormat="1" applyFont="1" applyFill="1" applyAlignment="1">
      <alignment horizontal="center" vertical="center"/>
    </xf>
    <xf numFmtId="3" fontId="41" fillId="16" borderId="0" xfId="0" applyNumberFormat="1" applyFont="1" applyFill="1" applyAlignment="1">
      <alignment horizontal="center"/>
    </xf>
    <xf numFmtId="3" fontId="41" fillId="21" borderId="0" xfId="0" applyNumberFormat="1" applyFont="1" applyFill="1"/>
    <xf numFmtId="0" fontId="0" fillId="62" borderId="0" xfId="0" applyFill="1" applyAlignment="1">
      <alignment horizontal="center"/>
    </xf>
    <xf numFmtId="3" fontId="42" fillId="62" borderId="0" xfId="0" applyNumberFormat="1" applyFont="1" applyFill="1" applyAlignment="1">
      <alignment horizontal="center"/>
    </xf>
    <xf numFmtId="3" fontId="41" fillId="62" borderId="0" xfId="0" applyNumberFormat="1" applyFont="1" applyFill="1"/>
    <xf numFmtId="3" fontId="0" fillId="62" borderId="0" xfId="0" applyNumberFormat="1" applyFill="1"/>
    <xf numFmtId="3" fontId="0" fillId="65" borderId="0" xfId="0" applyNumberFormat="1" applyFill="1"/>
    <xf numFmtId="3" fontId="12" fillId="31" borderId="0" xfId="0" applyNumberFormat="1" applyFont="1" applyFill="1"/>
    <xf numFmtId="0" fontId="12" fillId="25" borderId="0" xfId="0" applyFont="1" applyFill="1" applyAlignment="1">
      <alignment horizontal="center"/>
    </xf>
    <xf numFmtId="3" fontId="0" fillId="64" borderId="0" xfId="0" applyNumberFormat="1" applyFill="1"/>
    <xf numFmtId="3" fontId="0" fillId="15" borderId="0" xfId="0" applyNumberFormat="1" applyFill="1"/>
    <xf numFmtId="3" fontId="41" fillId="6" borderId="0" xfId="0" applyNumberFormat="1" applyFont="1" applyFill="1"/>
    <xf numFmtId="15" fontId="0" fillId="0" borderId="0" xfId="0" applyNumberFormat="1"/>
    <xf numFmtId="3" fontId="0" fillId="0" borderId="2" xfId="0" applyNumberFormat="1" applyBorder="1"/>
    <xf numFmtId="3" fontId="42" fillId="30" borderId="2" xfId="0" applyNumberFormat="1" applyFont="1" applyFill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3" fontId="41" fillId="66" borderId="0" xfId="0" applyNumberFormat="1" applyFont="1" applyFill="1"/>
    <xf numFmtId="0" fontId="57" fillId="0" borderId="0" xfId="0" applyFont="1" applyAlignment="1">
      <alignment horizontal="center" vertical="center"/>
    </xf>
    <xf numFmtId="0" fontId="0" fillId="67" borderId="0" xfId="0" applyFill="1" applyAlignment="1">
      <alignment horizontal="center" vertical="center"/>
    </xf>
    <xf numFmtId="3" fontId="42" fillId="67" borderId="0" xfId="0" applyNumberFormat="1" applyFont="1" applyFill="1" applyAlignment="1">
      <alignment horizontal="center" vertical="center"/>
    </xf>
    <xf numFmtId="0" fontId="58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3" fontId="41" fillId="5" borderId="0" xfId="0" applyNumberFormat="1" applyFont="1" applyFill="1" applyAlignment="1">
      <alignment horizontal="center" vertical="center"/>
    </xf>
    <xf numFmtId="3" fontId="41" fillId="5" borderId="0" xfId="0" applyNumberFormat="1" applyFont="1" applyFill="1" applyAlignment="1">
      <alignment horizontal="center"/>
    </xf>
    <xf numFmtId="0" fontId="0" fillId="6" borderId="0" xfId="0" applyFill="1"/>
    <xf numFmtId="0" fontId="0" fillId="38" borderId="0" xfId="0" applyFill="1" applyAlignment="1">
      <alignment horizontal="center" vertical="center"/>
    </xf>
    <xf numFmtId="3" fontId="40" fillId="38" borderId="0" xfId="0" applyNumberFormat="1" applyFont="1" applyFill="1" applyAlignment="1">
      <alignment horizontal="center" vertical="center"/>
    </xf>
    <xf numFmtId="0" fontId="0" fillId="58" borderId="0" xfId="0" applyFill="1" applyAlignment="1">
      <alignment horizontal="center"/>
    </xf>
    <xf numFmtId="3" fontId="42" fillId="5" borderId="0" xfId="0" applyNumberFormat="1" applyFont="1" applyFill="1" applyAlignment="1">
      <alignment horizontal="center" vertical="center"/>
    </xf>
    <xf numFmtId="3" fontId="42" fillId="28" borderId="0" xfId="0" applyNumberFormat="1" applyFont="1" applyFill="1" applyAlignment="1">
      <alignment horizontal="center" vertical="center"/>
    </xf>
    <xf numFmtId="3" fontId="41" fillId="28" borderId="0" xfId="0" applyNumberFormat="1" applyFont="1" applyFill="1"/>
    <xf numFmtId="3" fontId="0" fillId="58" borderId="0" xfId="0" applyNumberFormat="1" applyFill="1"/>
    <xf numFmtId="3" fontId="0" fillId="28" borderId="0" xfId="0" applyNumberFormat="1" applyFill="1"/>
    <xf numFmtId="0" fontId="16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3" fontId="59" fillId="0" borderId="0" xfId="0" applyNumberFormat="1" applyFont="1" applyAlignment="1">
      <alignment horizontal="center"/>
    </xf>
    <xf numFmtId="3" fontId="37" fillId="0" borderId="0" xfId="0" applyNumberFormat="1" applyFont="1" applyAlignment="1">
      <alignment horizontal="center"/>
    </xf>
    <xf numFmtId="3" fontId="60" fillId="0" borderId="0" xfId="0" applyNumberFormat="1" applyFont="1" applyAlignment="1">
      <alignment horizontal="center"/>
    </xf>
    <xf numFmtId="3" fontId="38" fillId="0" borderId="0" xfId="0" applyNumberFormat="1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/>
    <xf numFmtId="3" fontId="15" fillId="0" borderId="0" xfId="0" applyNumberFormat="1" applyFont="1"/>
    <xf numFmtId="14" fontId="12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left"/>
    </xf>
    <xf numFmtId="3" fontId="44" fillId="0" borderId="0" xfId="0" applyNumberFormat="1" applyFont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14" fontId="46" fillId="0" borderId="0" xfId="0" applyNumberFormat="1" applyFont="1"/>
    <xf numFmtId="3" fontId="0" fillId="16" borderId="0" xfId="0" applyNumberFormat="1" applyFill="1" applyAlignment="1">
      <alignment horizontal="center"/>
    </xf>
    <xf numFmtId="14" fontId="46" fillId="0" borderId="0" xfId="0" applyNumberFormat="1" applyFont="1" applyAlignment="1">
      <alignment horizontal="center"/>
    </xf>
    <xf numFmtId="14" fontId="46" fillId="4" borderId="0" xfId="0" applyNumberFormat="1" applyFont="1" applyFill="1"/>
    <xf numFmtId="3" fontId="0" fillId="4" borderId="0" xfId="0" applyNumberFormat="1" applyFill="1" applyAlignment="1">
      <alignment horizontal="center"/>
    </xf>
    <xf numFmtId="3" fontId="14" fillId="0" borderId="0" xfId="0" applyNumberFormat="1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18" fillId="58" borderId="0" xfId="0" applyFont="1" applyFill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0" fontId="12" fillId="4" borderId="0" xfId="0" applyFont="1" applyFill="1"/>
    <xf numFmtId="0" fontId="32" fillId="68" borderId="0" xfId="0" applyFont="1" applyFill="1" applyAlignment="1">
      <alignment horizontal="center"/>
    </xf>
    <xf numFmtId="3" fontId="0" fillId="9" borderId="0" xfId="0" applyNumberFormat="1" applyFill="1"/>
    <xf numFmtId="14" fontId="12" fillId="0" borderId="0" xfId="0" applyNumberFormat="1" applyFont="1"/>
    <xf numFmtId="0" fontId="18" fillId="9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58" borderId="0" xfId="0" applyFont="1" applyFill="1" applyAlignment="1">
      <alignment horizontal="center"/>
    </xf>
    <xf numFmtId="3" fontId="60" fillId="16" borderId="0" xfId="0" applyNumberFormat="1" applyFont="1" applyFill="1" applyAlignment="1">
      <alignment horizontal="center"/>
    </xf>
    <xf numFmtId="0" fontId="12" fillId="38" borderId="0" xfId="0" applyFont="1" applyFill="1" applyAlignment="1">
      <alignment horizontal="center"/>
    </xf>
    <xf numFmtId="0" fontId="31" fillId="5" borderId="0" xfId="0" applyFont="1" applyFill="1" applyAlignment="1">
      <alignment horizontal="center"/>
    </xf>
    <xf numFmtId="0" fontId="31" fillId="6" borderId="0" xfId="0" applyFont="1" applyFill="1" applyAlignment="1">
      <alignment horizontal="center"/>
    </xf>
    <xf numFmtId="0" fontId="31" fillId="58" borderId="0" xfId="0" applyFont="1" applyFill="1" applyAlignment="1">
      <alignment horizontal="center"/>
    </xf>
    <xf numFmtId="0" fontId="31" fillId="35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18" fillId="6" borderId="0" xfId="0" applyFont="1" applyFill="1" applyAlignment="1">
      <alignment horizontal="left"/>
    </xf>
    <xf numFmtId="3" fontId="59" fillId="0" borderId="1" xfId="0" applyNumberFormat="1" applyFont="1" applyBorder="1" applyAlignment="1">
      <alignment horizontal="center"/>
    </xf>
    <xf numFmtId="3" fontId="60" fillId="0" borderId="1" xfId="0" applyNumberFormat="1" applyFont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12" fillId="57" borderId="0" xfId="0" applyFont="1" applyFill="1" applyAlignment="1">
      <alignment horizontal="center"/>
    </xf>
    <xf numFmtId="3" fontId="22" fillId="4" borderId="0" xfId="0" applyNumberFormat="1" applyFont="1" applyFill="1"/>
    <xf numFmtId="0" fontId="62" fillId="17" borderId="0" xfId="0" applyFont="1" applyFill="1"/>
    <xf numFmtId="3" fontId="0" fillId="17" borderId="0" xfId="0" applyNumberFormat="1" applyFill="1"/>
    <xf numFmtId="3" fontId="40" fillId="32" borderId="0" xfId="0" applyNumberFormat="1" applyFont="1" applyFill="1" applyAlignment="1">
      <alignment horizontal="center"/>
    </xf>
    <xf numFmtId="3" fontId="39" fillId="69" borderId="0" xfId="0" applyNumberFormat="1" applyFont="1" applyFill="1"/>
    <xf numFmtId="3" fontId="34" fillId="49" borderId="0" xfId="0" applyNumberFormat="1" applyFont="1" applyFill="1"/>
    <xf numFmtId="3" fontId="39" fillId="39" borderId="0" xfId="0" applyNumberFormat="1" applyFont="1" applyFill="1" applyAlignment="1">
      <alignment horizontal="center"/>
    </xf>
    <xf numFmtId="3" fontId="39" fillId="39" borderId="0" xfId="0" applyNumberFormat="1" applyFont="1" applyFill="1"/>
    <xf numFmtId="14" fontId="23" fillId="4" borderId="0" xfId="0" applyNumberFormat="1" applyFont="1" applyFill="1"/>
    <xf numFmtId="3" fontId="34" fillId="4" borderId="0" xfId="0" applyNumberFormat="1" applyFont="1" applyFill="1"/>
    <xf numFmtId="14" fontId="18" fillId="70" borderId="0" xfId="0" applyNumberFormat="1" applyFont="1" applyFill="1"/>
    <xf numFmtId="3" fontId="49" fillId="53" borderId="0" xfId="0" applyNumberFormat="1" applyFont="1" applyFill="1" applyAlignment="1">
      <alignment horizontal="center"/>
    </xf>
    <xf numFmtId="3" fontId="49" fillId="52" borderId="0" xfId="0" applyNumberFormat="1" applyFont="1" applyFill="1" applyAlignment="1">
      <alignment horizontal="center"/>
    </xf>
    <xf numFmtId="14" fontId="0" fillId="53" borderId="0" xfId="0" applyNumberFormat="1" applyFill="1"/>
    <xf numFmtId="14" fontId="18" fillId="5" borderId="0" xfId="0" applyNumberFormat="1" applyFont="1" applyFill="1"/>
    <xf numFmtId="0" fontId="31" fillId="33" borderId="0" xfId="0" applyFont="1" applyFill="1"/>
    <xf numFmtId="0" fontId="18" fillId="0" borderId="0" xfId="0" applyFont="1" applyFill="1" applyAlignment="1">
      <alignment horizontal="center"/>
    </xf>
    <xf numFmtId="14" fontId="18" fillId="0" borderId="0" xfId="0" applyNumberFormat="1" applyFont="1" applyFill="1" applyAlignment="1">
      <alignment horizontal="center"/>
    </xf>
    <xf numFmtId="0" fontId="18" fillId="0" borderId="0" xfId="0" applyFont="1" applyFill="1"/>
    <xf numFmtId="3" fontId="18" fillId="0" borderId="0" xfId="0" applyNumberFormat="1" applyFont="1" applyFill="1" applyAlignment="1">
      <alignment horizontal="center"/>
    </xf>
    <xf numFmtId="3" fontId="26" fillId="0" borderId="0" xfId="0" applyNumberFormat="1" applyFont="1" applyFill="1" applyAlignment="1">
      <alignment horizontal="center"/>
    </xf>
    <xf numFmtId="3" fontId="50" fillId="0" borderId="0" xfId="0" applyNumberFormat="1" applyFont="1" applyFill="1" applyAlignment="1">
      <alignment horizontal="center"/>
    </xf>
    <xf numFmtId="14" fontId="18" fillId="0" borderId="0" xfId="0" applyNumberFormat="1" applyFont="1" applyFill="1"/>
    <xf numFmtId="3" fontId="18" fillId="0" borderId="0" xfId="0" applyNumberFormat="1" applyFont="1" applyFill="1"/>
    <xf numFmtId="0" fontId="32" fillId="0" borderId="0" xfId="0" applyFont="1" applyFill="1"/>
    <xf numFmtId="3" fontId="41" fillId="50" borderId="0" xfId="0" applyNumberFormat="1" applyFont="1" applyFill="1"/>
    <xf numFmtId="3" fontId="24" fillId="5" borderId="0" xfId="0" applyNumberFormat="1" applyFont="1" applyFill="1" applyAlignment="1">
      <alignment horizontal="center"/>
    </xf>
    <xf numFmtId="14" fontId="23" fillId="4" borderId="0" xfId="0" applyNumberFormat="1" applyFont="1" applyFill="1" applyAlignment="1">
      <alignment horizontal="center"/>
    </xf>
    <xf numFmtId="3" fontId="39" fillId="69" borderId="0" xfId="0" applyNumberFormat="1" applyFont="1" applyFill="1" applyAlignment="1">
      <alignment horizontal="center"/>
    </xf>
    <xf numFmtId="3" fontId="0" fillId="71" borderId="0" xfId="0" applyNumberFormat="1" applyFill="1"/>
    <xf numFmtId="0" fontId="0" fillId="0" borderId="0" xfId="0" applyFill="1" applyAlignment="1">
      <alignment horizontal="center"/>
    </xf>
    <xf numFmtId="0" fontId="31" fillId="0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12" fillId="0" borderId="0" xfId="0" applyFont="1" applyFill="1" applyAlignment="1">
      <alignment horizontal="center"/>
    </xf>
    <xf numFmtId="3" fontId="15" fillId="0" borderId="0" xfId="0" applyNumberFormat="1" applyFont="1" applyFill="1" applyAlignment="1">
      <alignment horizontal="center"/>
    </xf>
    <xf numFmtId="3" fontId="59" fillId="0" borderId="0" xfId="0" applyNumberFormat="1" applyFont="1" applyFill="1" applyAlignment="1">
      <alignment horizontal="center"/>
    </xf>
    <xf numFmtId="3" fontId="37" fillId="0" borderId="0" xfId="0" applyNumberFormat="1" applyFont="1" applyFill="1" applyAlignment="1">
      <alignment horizontal="center"/>
    </xf>
    <xf numFmtId="3" fontId="60" fillId="0" borderId="0" xfId="0" applyNumberFormat="1" applyFont="1" applyFill="1" applyAlignment="1">
      <alignment horizontal="center"/>
    </xf>
    <xf numFmtId="3" fontId="38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14" fontId="46" fillId="0" borderId="0" xfId="0" applyNumberFormat="1" applyFont="1" applyFill="1"/>
    <xf numFmtId="3" fontId="0" fillId="0" borderId="0" xfId="0" applyNumberFormat="1" applyFill="1" applyAlignment="1">
      <alignment horizontal="center"/>
    </xf>
    <xf numFmtId="3" fontId="0" fillId="0" borderId="0" xfId="0" applyNumberFormat="1" applyFill="1"/>
    <xf numFmtId="14" fontId="0" fillId="0" borderId="0" xfId="0" applyNumberFormat="1" applyFill="1"/>
    <xf numFmtId="0" fontId="0" fillId="0" borderId="0" xfId="0" applyFill="1"/>
    <xf numFmtId="0" fontId="11" fillId="0" borderId="0" xfId="0" applyFont="1" applyFill="1" applyAlignment="1">
      <alignment horizontal="left"/>
    </xf>
    <xf numFmtId="0" fontId="46" fillId="4" borderId="0" xfId="0" applyFont="1" applyFill="1" applyAlignment="1">
      <alignment horizontal="center"/>
    </xf>
    <xf numFmtId="3" fontId="34" fillId="65" borderId="0" xfId="0" applyNumberFormat="1" applyFont="1" applyFill="1"/>
    <xf numFmtId="15" fontId="18" fillId="0" borderId="0" xfId="0" applyNumberFormat="1" applyFont="1" applyFill="1" applyAlignment="1">
      <alignment horizontal="center"/>
    </xf>
    <xf numFmtId="3" fontId="40" fillId="32" borderId="0" xfId="0" applyNumberFormat="1" applyFont="1" applyFill="1"/>
    <xf numFmtId="3" fontId="18" fillId="52" borderId="0" xfId="0" applyNumberFormat="1" applyFont="1" applyFill="1"/>
    <xf numFmtId="3" fontId="39" fillId="72" borderId="0" xfId="0" applyNumberFormat="1" applyFont="1" applyFill="1" applyAlignment="1">
      <alignment horizontal="center"/>
    </xf>
    <xf numFmtId="14" fontId="0" fillId="70" borderId="0" xfId="0" applyNumberFormat="1" applyFill="1"/>
    <xf numFmtId="3" fontId="41" fillId="39" borderId="0" xfId="0" applyNumberFormat="1" applyFont="1" applyFill="1"/>
    <xf numFmtId="3" fontId="41" fillId="69" borderId="0" xfId="0" applyNumberFormat="1" applyFont="1" applyFill="1"/>
    <xf numFmtId="14" fontId="18" fillId="4" borderId="0" xfId="0" applyNumberFormat="1" applyFont="1" applyFill="1"/>
    <xf numFmtId="0" fontId="10" fillId="0" borderId="0" xfId="0" applyFont="1" applyFill="1" applyAlignment="1">
      <alignment horizontal="left"/>
    </xf>
    <xf numFmtId="3" fontId="49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left"/>
    </xf>
    <xf numFmtId="3" fontId="23" fillId="0" borderId="0" xfId="0" applyNumberFormat="1" applyFont="1" applyFill="1" applyAlignment="1">
      <alignment horizontal="center" vertical="center"/>
    </xf>
    <xf numFmtId="3" fontId="49" fillId="0" borderId="0" xfId="0" applyNumberFormat="1" applyFont="1" applyFill="1" applyAlignment="1">
      <alignment horizontal="center" vertical="center"/>
    </xf>
    <xf numFmtId="3" fontId="26" fillId="0" borderId="0" xfId="0" applyNumberFormat="1" applyFont="1" applyFill="1" applyAlignment="1">
      <alignment horizontal="center" vertical="center"/>
    </xf>
    <xf numFmtId="3" fontId="50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/>
    </xf>
    <xf numFmtId="0" fontId="34" fillId="0" borderId="0" xfId="0" applyFont="1" applyFill="1"/>
    <xf numFmtId="0" fontId="23" fillId="0" borderId="0" xfId="0" applyFont="1" applyFill="1"/>
    <xf numFmtId="0" fontId="28" fillId="0" borderId="0" xfId="0" applyFont="1" applyFill="1"/>
    <xf numFmtId="14" fontId="32" fillId="0" borderId="0" xfId="0" applyNumberFormat="1" applyFont="1" applyFill="1" applyAlignment="1">
      <alignment horizontal="center" vertical="center"/>
    </xf>
    <xf numFmtId="14" fontId="23" fillId="0" borderId="0" xfId="0" applyNumberFormat="1" applyFont="1" applyFill="1" applyAlignment="1">
      <alignment horizontal="center"/>
    </xf>
    <xf numFmtId="14" fontId="23" fillId="0" borderId="0" xfId="0" applyNumberFormat="1" applyFont="1" applyFill="1"/>
    <xf numFmtId="3" fontId="34" fillId="0" borderId="0" xfId="0" applyNumberFormat="1" applyFont="1" applyFill="1"/>
    <xf numFmtId="0" fontId="30" fillId="0" borderId="0" xfId="0" applyFont="1" applyFill="1" applyAlignment="1">
      <alignment horizontal="center" vertical="center"/>
    </xf>
    <xf numFmtId="3" fontId="23" fillId="53" borderId="0" xfId="0" applyNumberFormat="1" applyFont="1" applyFill="1" applyAlignment="1">
      <alignment horizontal="center" vertical="center"/>
    </xf>
    <xf numFmtId="0" fontId="32" fillId="53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/>
    </xf>
    <xf numFmtId="3" fontId="49" fillId="49" borderId="0" xfId="0" applyNumberFormat="1" applyFont="1" applyFill="1" applyAlignment="1">
      <alignment horizontal="center" vertical="center"/>
    </xf>
    <xf numFmtId="3" fontId="28" fillId="53" borderId="0" xfId="0" applyNumberFormat="1" applyFont="1" applyFill="1"/>
    <xf numFmtId="0" fontId="18" fillId="0" borderId="0" xfId="0" applyFont="1" applyFill="1" applyAlignment="1"/>
    <xf numFmtId="15" fontId="0" fillId="0" borderId="0" xfId="0" applyNumberFormat="1" applyFill="1" applyAlignment="1">
      <alignment horizontal="center"/>
    </xf>
    <xf numFmtId="3" fontId="14" fillId="0" borderId="0" xfId="0" applyNumberFormat="1" applyFont="1" applyFill="1" applyAlignment="1">
      <alignment horizontal="center"/>
    </xf>
    <xf numFmtId="3" fontId="43" fillId="0" borderId="0" xfId="0" applyNumberFormat="1" applyFont="1" applyFill="1" applyAlignment="1">
      <alignment horizontal="center"/>
    </xf>
    <xf numFmtId="14" fontId="40" fillId="0" borderId="0" xfId="0" applyNumberFormat="1" applyFont="1" applyFill="1" applyAlignment="1">
      <alignment horizontal="center"/>
    </xf>
    <xf numFmtId="3" fontId="39" fillId="0" borderId="0" xfId="0" applyNumberFormat="1" applyFont="1" applyFill="1" applyAlignment="1">
      <alignment horizontal="center"/>
    </xf>
    <xf numFmtId="3" fontId="39" fillId="0" borderId="0" xfId="0" applyNumberFormat="1" applyFont="1" applyFill="1"/>
    <xf numFmtId="14" fontId="40" fillId="0" borderId="0" xfId="0" applyNumberFormat="1" applyFont="1" applyFill="1"/>
    <xf numFmtId="3" fontId="41" fillId="0" borderId="0" xfId="0" applyNumberFormat="1" applyFont="1" applyFill="1"/>
    <xf numFmtId="0" fontId="0" fillId="6" borderId="0" xfId="0" applyFill="1" applyAlignment="1">
      <alignment horizontal="center"/>
    </xf>
    <xf numFmtId="0" fontId="30" fillId="73" borderId="0" xfId="0" applyFont="1" applyFill="1"/>
    <xf numFmtId="3" fontId="34" fillId="73" borderId="0" xfId="0" applyNumberFormat="1" applyFont="1" applyFill="1"/>
    <xf numFmtId="14" fontId="65" fillId="0" borderId="0" xfId="0" applyNumberFormat="1" applyFont="1" applyFill="1" applyAlignment="1">
      <alignment horizontal="center"/>
    </xf>
    <xf numFmtId="17" fontId="18" fillId="0" borderId="0" xfId="0" applyNumberFormat="1" applyFont="1" applyAlignment="1">
      <alignment horizontal="center"/>
    </xf>
    <xf numFmtId="0" fontId="9" fillId="8" borderId="0" xfId="0" applyFont="1" applyFill="1" applyAlignment="1">
      <alignment horizontal="left"/>
    </xf>
    <xf numFmtId="0" fontId="0" fillId="6" borderId="0" xfId="0" applyFill="1" applyAlignment="1">
      <alignment horizontal="center"/>
    </xf>
    <xf numFmtId="14" fontId="46" fillId="0" borderId="0" xfId="0" applyNumberFormat="1" applyFont="1" applyFill="1" applyAlignment="1">
      <alignment horizontal="center"/>
    </xf>
    <xf numFmtId="3" fontId="49" fillId="20" borderId="0" xfId="0" applyNumberFormat="1" applyFont="1" applyFill="1" applyAlignment="1">
      <alignment horizontal="center" vertical="center"/>
    </xf>
    <xf numFmtId="3" fontId="24" fillId="50" borderId="0" xfId="0" applyNumberFormat="1" applyFont="1" applyFill="1"/>
    <xf numFmtId="3" fontId="49" fillId="20" borderId="0" xfId="0" applyNumberFormat="1" applyFont="1" applyFill="1" applyAlignment="1">
      <alignment horizontal="center"/>
    </xf>
    <xf numFmtId="0" fontId="8" fillId="4" borderId="0" xfId="0" applyFont="1" applyFill="1"/>
    <xf numFmtId="3" fontId="15" fillId="16" borderId="0" xfId="0" applyNumberFormat="1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18" fillId="16" borderId="0" xfId="0" applyFont="1" applyFill="1"/>
    <xf numFmtId="3" fontId="28" fillId="16" borderId="0" xfId="0" applyNumberFormat="1" applyFont="1" applyFill="1"/>
    <xf numFmtId="0" fontId="12" fillId="0" borderId="0" xfId="0" applyFont="1" applyFill="1" applyAlignment="1">
      <alignment horizontal="left"/>
    </xf>
    <xf numFmtId="0" fontId="46" fillId="0" borderId="0" xfId="0" applyFont="1" applyFill="1"/>
    <xf numFmtId="0" fontId="6" fillId="6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41" fillId="0" borderId="0" xfId="0" applyFont="1" applyFill="1"/>
    <xf numFmtId="0" fontId="4" fillId="0" borderId="0" xfId="0" applyFont="1" applyFill="1" applyAlignment="1">
      <alignment horizontal="left"/>
    </xf>
    <xf numFmtId="0" fontId="4" fillId="53" borderId="0" xfId="0" applyFont="1" applyFill="1" applyAlignment="1">
      <alignment horizontal="center"/>
    </xf>
    <xf numFmtId="3" fontId="42" fillId="53" borderId="0" xfId="0" applyNumberFormat="1" applyFont="1" applyFill="1" applyAlignment="1">
      <alignment horizontal="center"/>
    </xf>
    <xf numFmtId="14" fontId="18" fillId="0" borderId="0" xfId="0" applyNumberFormat="1" applyFont="1" applyFill="1" applyAlignment="1">
      <alignment horizontal="center" vertical="center"/>
    </xf>
    <xf numFmtId="3" fontId="22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3" fontId="27" fillId="0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14" fontId="46" fillId="0" borderId="0" xfId="0" applyNumberFormat="1" applyFont="1" applyFill="1" applyAlignment="1">
      <alignment horizontal="center"/>
    </xf>
    <xf numFmtId="3" fontId="39" fillId="53" borderId="0" xfId="0" applyNumberFormat="1" applyFont="1" applyFill="1" applyAlignment="1">
      <alignment horizontal="center"/>
    </xf>
    <xf numFmtId="3" fontId="42" fillId="0" borderId="0" xfId="0" applyNumberFormat="1" applyFont="1" applyFill="1" applyAlignment="1">
      <alignment horizontal="center"/>
    </xf>
    <xf numFmtId="3" fontId="43" fillId="0" borderId="0" xfId="0" applyNumberFormat="1" applyFont="1" applyFill="1" applyAlignment="1">
      <alignment horizontal="center" vertical="center"/>
    </xf>
    <xf numFmtId="14" fontId="41" fillId="0" borderId="0" xfId="0" applyNumberFormat="1" applyFont="1" applyFill="1"/>
    <xf numFmtId="0" fontId="18" fillId="6" borderId="0" xfId="0" applyFont="1" applyFill="1" applyAlignment="1">
      <alignment horizontal="center"/>
    </xf>
    <xf numFmtId="14" fontId="23" fillId="53" borderId="0" xfId="0" applyNumberFormat="1" applyFont="1" applyFill="1" applyAlignment="1">
      <alignment horizontal="center" vertical="center"/>
    </xf>
    <xf numFmtId="3" fontId="49" fillId="53" borderId="0" xfId="0" applyNumberFormat="1" applyFont="1" applyFill="1" applyAlignment="1">
      <alignment horizontal="center" vertical="center"/>
    </xf>
    <xf numFmtId="3" fontId="24" fillId="49" borderId="0" xfId="0" applyNumberFormat="1" applyFont="1" applyFill="1" applyAlignment="1">
      <alignment horizontal="center"/>
    </xf>
    <xf numFmtId="0" fontId="39" fillId="4" borderId="0" xfId="0" applyFont="1" applyFill="1" applyAlignment="1">
      <alignment horizontal="center" vertical="center"/>
    </xf>
    <xf numFmtId="3" fontId="18" fillId="20" borderId="0" xfId="0" applyNumberFormat="1" applyFont="1" applyFill="1"/>
    <xf numFmtId="3" fontId="18" fillId="50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3" fontId="24" fillId="0" borderId="0" xfId="0" applyNumberFormat="1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3" fontId="25" fillId="0" borderId="0" xfId="0" applyNumberFormat="1" applyFont="1" applyFill="1" applyAlignment="1">
      <alignment horizontal="center"/>
    </xf>
    <xf numFmtId="3" fontId="28" fillId="0" borderId="0" xfId="0" applyNumberFormat="1" applyFont="1" applyFill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18" fillId="6" borderId="0" xfId="0" applyFont="1" applyFill="1" applyAlignment="1">
      <alignment horizontal="center"/>
    </xf>
    <xf numFmtId="14" fontId="1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6" borderId="0" xfId="0" applyNumberFormat="1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40" fillId="6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0" fontId="0" fillId="6" borderId="0" xfId="0" applyFill="1" applyAlignment="1">
      <alignment horizontal="center"/>
    </xf>
    <xf numFmtId="14" fontId="40" fillId="6" borderId="0" xfId="0" applyNumberFormat="1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23" fillId="32" borderId="0" xfId="0" applyFont="1" applyFill="1" applyAlignment="1">
      <alignment horizontal="center"/>
    </xf>
    <xf numFmtId="0" fontId="34" fillId="32" borderId="0" xfId="0" applyFont="1" applyFill="1" applyAlignment="1">
      <alignment horizontal="center"/>
    </xf>
    <xf numFmtId="14" fontId="23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/>
    </xf>
    <xf numFmtId="0" fontId="18" fillId="32" borderId="0" xfId="0" applyFont="1" applyFill="1"/>
    <xf numFmtId="14" fontId="23" fillId="6" borderId="0" xfId="0" applyNumberFormat="1" applyFont="1" applyFill="1" applyAlignment="1">
      <alignment horizontal="center"/>
    </xf>
    <xf numFmtId="0" fontId="18" fillId="32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40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/>
    </xf>
    <xf numFmtId="0" fontId="31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46" fillId="0" borderId="0" xfId="0" applyNumberFormat="1" applyFont="1" applyFill="1" applyAlignment="1">
      <alignment horizontal="center"/>
    </xf>
    <xf numFmtId="14" fontId="12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57D646"/>
      <color rgb="FFFF5050"/>
      <color rgb="FFFF66CC"/>
      <color rgb="FF00CCFF"/>
      <color rgb="FFFF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58"/>
  <sheetViews>
    <sheetView topLeftCell="A5" zoomScale="91" zoomScaleNormal="91" workbookViewId="0">
      <selection activeCell="K33" sqref="K33"/>
    </sheetView>
  </sheetViews>
  <sheetFormatPr defaultColWidth="9.140625" defaultRowHeight="12.75"/>
  <cols>
    <col min="1" max="1" width="12.5703125" style="3" customWidth="1"/>
    <col min="2" max="2" width="39" style="15" customWidth="1"/>
    <col min="3" max="3" width="5" style="3" customWidth="1"/>
    <col min="4" max="4" width="8.28515625" style="3" customWidth="1"/>
    <col min="5" max="5" width="12.28515625" style="3" customWidth="1"/>
    <col min="6" max="6" width="4.28515625" style="3" customWidth="1"/>
    <col min="7" max="7" width="6.7109375" style="3" customWidth="1"/>
    <col min="8" max="8" width="21.42578125" style="3" customWidth="1"/>
    <col min="9" max="9" width="12.42578125" style="3" customWidth="1"/>
    <col min="10" max="10" width="10.5703125" style="12" customWidth="1"/>
    <col min="11" max="11" width="10" style="164" customWidth="1"/>
    <col min="12" max="12" width="9.140625" style="87"/>
    <col min="13" max="13" width="12.140625" style="3" customWidth="1"/>
    <col min="14" max="14" width="10.85546875" style="15" customWidth="1"/>
    <col min="15" max="15" width="7.7109375" style="12" customWidth="1"/>
    <col min="16" max="16" width="10.7109375" style="15" customWidth="1"/>
    <col min="17" max="17" width="8.7109375" style="12" customWidth="1"/>
    <col min="18" max="18" width="12" style="15" customWidth="1"/>
    <col min="19" max="19" width="8.140625" style="12" customWidth="1"/>
    <col min="20" max="20" width="11.7109375" style="15" customWidth="1"/>
    <col min="21" max="21" width="9.28515625" style="151" customWidth="1"/>
    <col min="22" max="22" width="12.28515625" style="15" customWidth="1"/>
    <col min="23" max="23" width="7.7109375" style="60" customWidth="1"/>
    <col min="24" max="24" width="10.85546875" style="15" customWidth="1"/>
    <col min="25" max="25" width="8.42578125" style="60" customWidth="1"/>
    <col min="26" max="26" width="12.28515625" style="15" customWidth="1"/>
    <col min="27" max="27" width="7.28515625" style="60" customWidth="1"/>
    <col min="28" max="28" width="11" style="15" customWidth="1"/>
    <col min="29" max="29" width="6.85546875" style="60" customWidth="1"/>
    <col min="30" max="30" width="9.5703125" style="15" customWidth="1"/>
    <col min="31" max="31" width="7.5703125" style="61" customWidth="1"/>
    <col min="32" max="32" width="11.42578125" style="15" customWidth="1"/>
    <col min="33" max="33" width="7.85546875" style="61" customWidth="1"/>
    <col min="34" max="34" width="11.85546875" style="62" customWidth="1"/>
    <col min="35" max="35" width="7.28515625" style="61" customWidth="1"/>
    <col min="36" max="36" width="12.5703125" style="62" customWidth="1"/>
    <col min="37" max="37" width="7.140625" style="61" customWidth="1"/>
    <col min="38" max="38" width="13.140625" style="62" customWidth="1"/>
    <col min="39" max="39" width="8.28515625" style="61" customWidth="1"/>
    <col min="40" max="40" width="12.42578125" style="62" customWidth="1"/>
    <col min="41" max="41" width="9.140625" style="61"/>
    <col min="42" max="42" width="11.28515625" style="62" customWidth="1"/>
    <col min="43" max="43" width="9.140625" style="61"/>
    <col min="44" max="44" width="11.85546875" style="62" customWidth="1"/>
    <col min="45" max="45" width="9.140625" style="61"/>
    <col min="46" max="46" width="11.5703125" style="62" customWidth="1"/>
    <col min="47" max="47" width="9.140625" style="15"/>
    <col min="48" max="48" width="11" style="62" customWidth="1"/>
    <col min="49" max="49" width="9.140625" style="15"/>
    <col min="50" max="50" width="11" style="15" customWidth="1"/>
    <col min="51" max="51" width="9.140625" style="15"/>
    <col min="52" max="52" width="9.85546875" style="15" customWidth="1"/>
    <col min="53" max="53" width="9.140625" style="15"/>
    <col min="54" max="54" width="9.85546875" style="15" customWidth="1"/>
    <col min="55" max="55" width="9.140625" style="15"/>
    <col min="56" max="56" width="9.85546875" style="15" customWidth="1"/>
    <col min="57" max="57" width="9.140625" style="15"/>
    <col min="58" max="58" width="10.85546875" style="15" customWidth="1"/>
    <col min="59" max="59" width="9.140625" style="15"/>
    <col min="60" max="60" width="11" style="15" customWidth="1"/>
    <col min="61" max="61" width="9.140625" style="15"/>
    <col min="62" max="62" width="9.85546875" style="15" customWidth="1"/>
    <col min="63" max="63" width="9.140625" style="15"/>
    <col min="64" max="64" width="9.85546875" style="15" customWidth="1"/>
    <col min="65" max="16384" width="9.140625" style="15"/>
  </cols>
  <sheetData>
    <row r="1" spans="1:7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1"/>
      <c r="O1" s="8"/>
      <c r="P1" s="9"/>
      <c r="Q1" s="8"/>
      <c r="R1" s="10"/>
      <c r="S1" s="8"/>
      <c r="T1" s="11"/>
      <c r="U1" s="12"/>
      <c r="V1" s="3"/>
      <c r="W1" s="13"/>
      <c r="X1" s="3"/>
      <c r="Y1" s="13"/>
      <c r="Z1" s="3"/>
      <c r="AA1" s="13"/>
      <c r="AB1" s="11"/>
      <c r="AC1" s="13"/>
      <c r="AD1" s="11"/>
      <c r="AE1" s="14"/>
      <c r="AF1" s="3"/>
      <c r="AG1" s="14"/>
      <c r="AH1" s="11"/>
      <c r="AI1" s="14"/>
      <c r="AJ1" s="11"/>
      <c r="AK1" s="14"/>
      <c r="AL1" s="11"/>
      <c r="AM1" s="14"/>
      <c r="AN1" s="11"/>
      <c r="AO1" s="14"/>
      <c r="AP1" s="11"/>
      <c r="AQ1" s="14"/>
      <c r="AR1" s="11"/>
      <c r="AS1" s="14"/>
      <c r="AT1" s="11"/>
      <c r="AU1" s="3"/>
      <c r="AV1" s="11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71" ht="15">
      <c r="A2" s="16">
        <v>43985</v>
      </c>
      <c r="B2" s="17" t="s">
        <v>13</v>
      </c>
      <c r="C2" s="3">
        <v>10</v>
      </c>
      <c r="D2" s="9">
        <v>200</v>
      </c>
      <c r="E2" s="18" t="s">
        <v>14</v>
      </c>
      <c r="F2" s="19">
        <v>1</v>
      </c>
      <c r="G2" s="19">
        <v>8</v>
      </c>
      <c r="H2" s="9">
        <v>9068019406</v>
      </c>
      <c r="I2" s="20">
        <v>240000</v>
      </c>
      <c r="J2" s="21">
        <v>5000</v>
      </c>
      <c r="K2" s="22">
        <v>0</v>
      </c>
      <c r="L2" s="23" t="s">
        <v>15</v>
      </c>
      <c r="M2" s="10" t="s">
        <v>16</v>
      </c>
      <c r="N2" s="16">
        <v>44130</v>
      </c>
      <c r="O2" s="21">
        <v>235000</v>
      </c>
      <c r="P2" s="24" t="s">
        <v>17</v>
      </c>
      <c r="Q2" s="25">
        <v>1000</v>
      </c>
      <c r="R2" s="10"/>
      <c r="S2" s="8"/>
      <c r="T2" s="11"/>
      <c r="U2" s="12"/>
      <c r="V2" s="3"/>
      <c r="W2" s="13"/>
      <c r="X2" s="3"/>
      <c r="Y2" s="13"/>
      <c r="Z2" s="3"/>
      <c r="AA2" s="13"/>
      <c r="AB2" s="11"/>
      <c r="AC2" s="13"/>
      <c r="AD2" s="11"/>
      <c r="AE2" s="14"/>
      <c r="AF2" s="3"/>
      <c r="AG2" s="14"/>
      <c r="AH2" s="11"/>
      <c r="AI2" s="14"/>
      <c r="AJ2" s="11"/>
      <c r="AK2" s="14"/>
      <c r="AL2" s="11"/>
      <c r="AM2" s="14"/>
      <c r="AN2" s="11"/>
      <c r="AO2" s="14"/>
      <c r="AP2" s="11"/>
      <c r="AQ2" s="14"/>
      <c r="AR2" s="11"/>
      <c r="AS2" s="14"/>
      <c r="AT2" s="11"/>
      <c r="AU2" s="3"/>
      <c r="AV2" s="11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71" s="769" customFormat="1" ht="15">
      <c r="A3" s="867" t="s">
        <v>702</v>
      </c>
      <c r="B3" s="810" t="s">
        <v>703</v>
      </c>
      <c r="C3" s="767"/>
      <c r="D3" s="809">
        <v>210</v>
      </c>
      <c r="E3" s="809"/>
      <c r="F3" s="781"/>
      <c r="G3" s="781"/>
      <c r="H3" s="809"/>
      <c r="I3" s="811">
        <v>260000</v>
      </c>
      <c r="J3" s="868">
        <v>260000</v>
      </c>
      <c r="K3" s="869"/>
      <c r="L3" s="870"/>
      <c r="M3" s="815"/>
      <c r="N3" s="867"/>
      <c r="O3" s="868"/>
      <c r="P3" s="809"/>
      <c r="Q3" s="868"/>
      <c r="R3" s="815"/>
      <c r="S3" s="871"/>
      <c r="T3" s="817"/>
      <c r="U3" s="872"/>
      <c r="V3" s="767"/>
      <c r="W3" s="873"/>
      <c r="X3" s="767"/>
      <c r="Y3" s="873"/>
      <c r="Z3" s="767"/>
      <c r="AA3" s="873"/>
      <c r="AB3" s="817"/>
      <c r="AC3" s="873"/>
      <c r="AD3" s="817"/>
      <c r="AE3" s="874"/>
      <c r="AF3" s="767"/>
      <c r="AG3" s="874"/>
      <c r="AH3" s="817"/>
      <c r="AI3" s="874"/>
      <c r="AJ3" s="817"/>
      <c r="AK3" s="874"/>
      <c r="AL3" s="817"/>
      <c r="AM3" s="874"/>
      <c r="AN3" s="817"/>
      <c r="AO3" s="874"/>
      <c r="AP3" s="817"/>
      <c r="AQ3" s="874"/>
      <c r="AR3" s="817"/>
      <c r="AS3" s="874"/>
      <c r="AT3" s="817"/>
      <c r="AU3" s="767"/>
      <c r="AV3" s="817"/>
      <c r="AW3" s="767"/>
      <c r="AX3" s="767"/>
      <c r="AY3" s="767"/>
      <c r="AZ3" s="767"/>
      <c r="BA3" s="767"/>
      <c r="BB3" s="767"/>
      <c r="BC3" s="767"/>
      <c r="BD3" s="767"/>
      <c r="BE3" s="767"/>
      <c r="BF3" s="767"/>
      <c r="BG3" s="767"/>
      <c r="BH3" s="767"/>
      <c r="BI3" s="767"/>
      <c r="BJ3" s="767"/>
      <c r="BK3" s="767"/>
      <c r="BL3" s="767"/>
      <c r="BM3" s="767"/>
      <c r="BN3" s="767"/>
      <c r="BO3" s="767"/>
    </row>
    <row r="4" spans="1:71" ht="15">
      <c r="A4" s="9" t="s">
        <v>18</v>
      </c>
      <c r="B4" s="26" t="s">
        <v>19</v>
      </c>
      <c r="C4" s="3">
        <v>10</v>
      </c>
      <c r="D4" s="9">
        <v>400</v>
      </c>
      <c r="E4" s="27" t="s">
        <v>20</v>
      </c>
      <c r="F4" s="19">
        <v>2</v>
      </c>
      <c r="G4" s="19">
        <v>2</v>
      </c>
      <c r="H4" s="9">
        <v>9389993382</v>
      </c>
      <c r="I4" s="20">
        <v>341600</v>
      </c>
      <c r="J4" s="28">
        <v>20000</v>
      </c>
      <c r="K4" s="29">
        <f>SUM(I4-J4-O4-Q4-S4-U4-W4)</f>
        <v>141600</v>
      </c>
      <c r="L4" s="23">
        <v>9600</v>
      </c>
      <c r="M4" s="10" t="s">
        <v>21</v>
      </c>
      <c r="N4" s="16">
        <v>43985</v>
      </c>
      <c r="O4" s="28">
        <v>30000</v>
      </c>
      <c r="P4" s="16">
        <v>44116</v>
      </c>
      <c r="Q4" s="28">
        <v>50000</v>
      </c>
      <c r="R4" s="30">
        <v>45427</v>
      </c>
      <c r="S4" s="28">
        <v>5000</v>
      </c>
      <c r="T4" s="37">
        <v>45799</v>
      </c>
      <c r="U4" s="148">
        <v>65000</v>
      </c>
      <c r="V4" s="39">
        <v>45839</v>
      </c>
      <c r="W4" s="777">
        <v>30000</v>
      </c>
      <c r="X4" s="3"/>
      <c r="Y4" s="13"/>
      <c r="Z4" s="3"/>
      <c r="AA4" s="13"/>
      <c r="AB4" s="11"/>
      <c r="AC4" s="13"/>
      <c r="AD4" s="11"/>
      <c r="AE4" s="14"/>
      <c r="AF4" s="3"/>
      <c r="AG4" s="14"/>
      <c r="AH4" s="11"/>
      <c r="AI4" s="14"/>
      <c r="AJ4" s="11"/>
      <c r="AK4" s="14"/>
      <c r="AL4" s="11"/>
      <c r="AM4" s="14"/>
      <c r="AN4" s="11"/>
      <c r="AO4" s="14"/>
      <c r="AP4" s="11"/>
      <c r="AQ4" s="14"/>
      <c r="AR4" s="11"/>
      <c r="AS4" s="14"/>
      <c r="AT4" s="11"/>
      <c r="AU4" s="3"/>
      <c r="AV4" s="11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71" ht="15">
      <c r="A5" s="9" t="s">
        <v>22</v>
      </c>
      <c r="B5" s="17" t="s">
        <v>23</v>
      </c>
      <c r="C5" s="31" t="s">
        <v>24</v>
      </c>
      <c r="D5" s="9">
        <v>200</v>
      </c>
      <c r="E5" s="32" t="s">
        <v>25</v>
      </c>
      <c r="F5" s="19">
        <v>1</v>
      </c>
      <c r="G5" s="19">
        <v>11</v>
      </c>
      <c r="H5" s="9"/>
      <c r="I5" s="20">
        <v>250000</v>
      </c>
      <c r="J5" s="33">
        <v>9971</v>
      </c>
      <c r="K5" s="29">
        <f>SUM(I5-J5-O5-S5-U5-W5-Y5-AA5-AC5-AE5-AG5-AI5-AK5-AM5-AO5-AQ5-AS5-AU5)</f>
        <v>-1000</v>
      </c>
      <c r="L5" s="23" t="s">
        <v>15</v>
      </c>
      <c r="M5" s="34">
        <v>44183</v>
      </c>
      <c r="N5" s="16">
        <v>43998</v>
      </c>
      <c r="O5" s="33">
        <v>40000</v>
      </c>
      <c r="P5" s="35" t="s">
        <v>26</v>
      </c>
      <c r="Q5" s="25">
        <v>500</v>
      </c>
      <c r="R5" s="16">
        <v>44023</v>
      </c>
      <c r="S5" s="36">
        <v>27678</v>
      </c>
      <c r="T5" s="30">
        <v>44023</v>
      </c>
      <c r="U5" s="36">
        <v>5577</v>
      </c>
      <c r="V5" s="37">
        <v>44086</v>
      </c>
      <c r="W5" s="38">
        <v>17000</v>
      </c>
      <c r="X5" s="39">
        <v>44105</v>
      </c>
      <c r="Y5" s="38">
        <v>15000</v>
      </c>
      <c r="Z5" s="39">
        <v>44116</v>
      </c>
      <c r="AA5" s="38">
        <v>22000</v>
      </c>
      <c r="AB5" s="39">
        <v>44240</v>
      </c>
      <c r="AC5" s="38">
        <v>14000</v>
      </c>
      <c r="AD5" s="37">
        <v>44247</v>
      </c>
      <c r="AE5" s="40">
        <v>10000</v>
      </c>
      <c r="AF5" s="37">
        <v>44249</v>
      </c>
      <c r="AG5" s="40">
        <v>10000</v>
      </c>
      <c r="AH5" s="37">
        <v>44270</v>
      </c>
      <c r="AI5" s="40">
        <v>10000</v>
      </c>
      <c r="AJ5" s="37">
        <v>44296</v>
      </c>
      <c r="AK5" s="40">
        <v>14500</v>
      </c>
      <c r="AL5" s="37">
        <v>44334</v>
      </c>
      <c r="AM5" s="40">
        <v>10000</v>
      </c>
      <c r="AN5" s="37">
        <v>44394</v>
      </c>
      <c r="AO5" s="40">
        <v>10000</v>
      </c>
      <c r="AP5" s="37">
        <v>44408</v>
      </c>
      <c r="AQ5" s="40">
        <v>20000</v>
      </c>
      <c r="AR5" s="37">
        <v>44492</v>
      </c>
      <c r="AS5" s="40">
        <v>14274</v>
      </c>
      <c r="AT5" s="41" t="s">
        <v>17</v>
      </c>
      <c r="AU5" s="42">
        <v>1000</v>
      </c>
      <c r="AV5" s="11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71" ht="15">
      <c r="A6" s="9" t="s">
        <v>27</v>
      </c>
      <c r="B6" s="26" t="s">
        <v>28</v>
      </c>
      <c r="C6" s="3">
        <v>10</v>
      </c>
      <c r="D6" s="9">
        <v>200</v>
      </c>
      <c r="E6" s="43" t="s">
        <v>29</v>
      </c>
      <c r="F6" s="19">
        <v>1</v>
      </c>
      <c r="G6" s="19">
        <v>5</v>
      </c>
      <c r="H6" s="9">
        <v>9757682185</v>
      </c>
      <c r="I6" s="20">
        <v>280400</v>
      </c>
      <c r="J6" s="44">
        <v>20000</v>
      </c>
      <c r="K6" s="29">
        <f>SUM(I6-J6-O6-Q6-S6-U6-W6-Y6)</f>
        <v>0</v>
      </c>
      <c r="L6" s="23">
        <v>9600</v>
      </c>
      <c r="M6" s="10" t="s">
        <v>30</v>
      </c>
      <c r="N6" s="16">
        <v>43999</v>
      </c>
      <c r="O6" s="44">
        <v>30000</v>
      </c>
      <c r="P6" s="16">
        <v>44037</v>
      </c>
      <c r="Q6" s="44">
        <v>9600</v>
      </c>
      <c r="R6" s="30">
        <v>44104</v>
      </c>
      <c r="S6" s="44">
        <v>9600</v>
      </c>
      <c r="T6" s="37">
        <v>44163</v>
      </c>
      <c r="U6" s="44">
        <v>9600</v>
      </c>
      <c r="V6" s="3" t="s">
        <v>31</v>
      </c>
      <c r="W6" s="38">
        <v>100000</v>
      </c>
      <c r="X6" s="39">
        <v>45108</v>
      </c>
      <c r="Y6" s="45">
        <v>101600</v>
      </c>
      <c r="Z6" s="46" t="s">
        <v>17</v>
      </c>
      <c r="AA6" s="47">
        <v>1000</v>
      </c>
      <c r="AB6" s="11"/>
      <c r="AC6" s="13"/>
      <c r="AD6" s="11"/>
      <c r="AE6" s="14"/>
      <c r="AF6" s="3"/>
      <c r="AG6" s="14"/>
      <c r="AH6" s="11"/>
      <c r="AI6" s="14"/>
      <c r="AJ6" s="11"/>
      <c r="AK6" s="14"/>
      <c r="AL6" s="11"/>
      <c r="AM6" s="14"/>
      <c r="AN6" s="11"/>
      <c r="AO6" s="14"/>
      <c r="AP6" s="11"/>
      <c r="AQ6" s="14"/>
      <c r="AR6" s="11"/>
      <c r="AS6" s="14"/>
      <c r="AT6" s="11"/>
      <c r="AU6" s="3"/>
      <c r="AV6" s="11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71" ht="15">
      <c r="A7" s="16">
        <v>43995</v>
      </c>
      <c r="B7" s="17" t="s">
        <v>32</v>
      </c>
      <c r="C7" s="3">
        <v>10</v>
      </c>
      <c r="D7" s="9">
        <v>200</v>
      </c>
      <c r="E7" s="32" t="s">
        <v>33</v>
      </c>
      <c r="F7" s="19">
        <v>2</v>
      </c>
      <c r="G7" s="19">
        <v>13</v>
      </c>
      <c r="H7" s="9">
        <v>9094503574</v>
      </c>
      <c r="I7" s="20">
        <v>280400</v>
      </c>
      <c r="J7" s="33">
        <v>20000</v>
      </c>
      <c r="K7" s="29">
        <f>SUM(I7-J7-O7-Q7-S7-U7-W7-Y7-AA7-AC7-AE7-AG7-AI7-AK7-AM7-AO7-AQ7-AS7-AU7-AW7-AY7-BA7-BC7-BE7-BG7-BI7-BK7)</f>
        <v>0</v>
      </c>
      <c r="L7" s="23">
        <v>9600</v>
      </c>
      <c r="M7" s="10" t="s">
        <v>30</v>
      </c>
      <c r="N7" s="16">
        <v>44002</v>
      </c>
      <c r="O7" s="33">
        <v>30000</v>
      </c>
      <c r="P7" s="16">
        <v>44036</v>
      </c>
      <c r="Q7" s="33">
        <v>20000</v>
      </c>
      <c r="R7" s="30">
        <v>44132</v>
      </c>
      <c r="S7" s="33">
        <v>20000</v>
      </c>
      <c r="T7" s="37">
        <v>44161</v>
      </c>
      <c r="U7" s="33">
        <v>20000</v>
      </c>
      <c r="V7" s="39">
        <v>44230</v>
      </c>
      <c r="W7" s="48">
        <v>9600</v>
      </c>
      <c r="X7" s="39">
        <v>44252</v>
      </c>
      <c r="Y7" s="48">
        <v>9600</v>
      </c>
      <c r="Z7" s="39">
        <v>44285</v>
      </c>
      <c r="AA7" s="48">
        <v>9600</v>
      </c>
      <c r="AB7" s="37">
        <v>44310</v>
      </c>
      <c r="AC7" s="48">
        <v>9600</v>
      </c>
      <c r="AD7" s="37">
        <v>44338</v>
      </c>
      <c r="AE7" s="48">
        <v>9600</v>
      </c>
      <c r="AF7" s="39">
        <v>44372</v>
      </c>
      <c r="AG7" s="48">
        <v>9600</v>
      </c>
      <c r="AH7" s="37">
        <v>44399</v>
      </c>
      <c r="AI7" s="48">
        <v>9600</v>
      </c>
      <c r="AJ7" s="37">
        <v>44433</v>
      </c>
      <c r="AK7" s="48">
        <v>9600</v>
      </c>
      <c r="AL7" s="37">
        <v>44468</v>
      </c>
      <c r="AM7" s="49">
        <v>7000</v>
      </c>
      <c r="AN7" s="37">
        <v>44494</v>
      </c>
      <c r="AO7" s="49">
        <v>5000</v>
      </c>
      <c r="AP7" s="37">
        <v>44527</v>
      </c>
      <c r="AQ7" s="49">
        <v>5000</v>
      </c>
      <c r="AR7" s="37">
        <v>44558</v>
      </c>
      <c r="AS7" s="49">
        <v>5000</v>
      </c>
      <c r="AT7" s="37">
        <v>44583</v>
      </c>
      <c r="AU7" s="50">
        <v>5000</v>
      </c>
      <c r="AV7" s="37">
        <v>44613</v>
      </c>
      <c r="AW7" s="50">
        <v>11000</v>
      </c>
      <c r="AX7" s="3" t="s">
        <v>34</v>
      </c>
      <c r="AY7" s="50">
        <v>11000</v>
      </c>
      <c r="AZ7" s="39">
        <v>44680</v>
      </c>
      <c r="BA7" s="50">
        <v>10000</v>
      </c>
      <c r="BB7" s="39">
        <v>44698</v>
      </c>
      <c r="BC7" s="50">
        <v>14000</v>
      </c>
      <c r="BD7" s="39">
        <v>44744</v>
      </c>
      <c r="BE7" s="50">
        <v>5000</v>
      </c>
      <c r="BF7" s="39">
        <v>44772</v>
      </c>
      <c r="BG7" s="50">
        <v>6000</v>
      </c>
      <c r="BH7" s="39">
        <v>44810</v>
      </c>
      <c r="BI7" s="50">
        <v>4000</v>
      </c>
      <c r="BJ7" s="39">
        <v>44827</v>
      </c>
      <c r="BK7" s="50">
        <v>5600</v>
      </c>
      <c r="BL7" s="51" t="s">
        <v>17</v>
      </c>
      <c r="BM7" s="42">
        <v>1500</v>
      </c>
      <c r="BN7" s="3"/>
      <c r="BO7" s="3"/>
    </row>
    <row r="8" spans="1:71" ht="15">
      <c r="A8" s="3" t="s">
        <v>35</v>
      </c>
      <c r="B8" s="15" t="s">
        <v>36</v>
      </c>
      <c r="C8" s="3">
        <v>10</v>
      </c>
      <c r="D8" s="3">
        <v>200</v>
      </c>
      <c r="E8" s="18" t="s">
        <v>14</v>
      </c>
      <c r="F8" s="19">
        <v>2</v>
      </c>
      <c r="G8" s="19">
        <v>3</v>
      </c>
      <c r="H8" s="3">
        <v>9559008033</v>
      </c>
      <c r="I8" s="52">
        <v>280400</v>
      </c>
      <c r="J8" s="53">
        <v>10000</v>
      </c>
      <c r="K8" s="54">
        <f>SUM(I8-J8-O8-Q8-S8-U8-W8-Y8-AA8-AC8)</f>
        <v>90400</v>
      </c>
      <c r="L8" s="55">
        <v>9600</v>
      </c>
      <c r="M8" s="844">
        <v>46082</v>
      </c>
      <c r="N8" s="56">
        <v>43970</v>
      </c>
      <c r="O8" s="53">
        <v>20000</v>
      </c>
      <c r="P8" s="56">
        <v>44095</v>
      </c>
      <c r="Q8" s="53">
        <v>20000</v>
      </c>
      <c r="R8" s="56">
        <v>44693</v>
      </c>
      <c r="S8" s="53">
        <v>10000</v>
      </c>
      <c r="T8" s="56">
        <v>44880</v>
      </c>
      <c r="U8" s="57">
        <v>50000</v>
      </c>
      <c r="V8" s="56">
        <v>45021</v>
      </c>
      <c r="W8" s="58">
        <v>10000</v>
      </c>
      <c r="X8" s="56">
        <v>45077</v>
      </c>
      <c r="Y8" s="58">
        <v>10000</v>
      </c>
      <c r="Z8" s="56">
        <v>45359</v>
      </c>
      <c r="AA8" s="59">
        <v>40000</v>
      </c>
      <c r="AB8" s="56">
        <v>46045</v>
      </c>
      <c r="AC8" s="849">
        <v>20000</v>
      </c>
    </row>
    <row r="9" spans="1:71" ht="15">
      <c r="A9" s="16">
        <v>43973</v>
      </c>
      <c r="B9" s="17" t="s">
        <v>37</v>
      </c>
      <c r="C9" s="3">
        <v>10</v>
      </c>
      <c r="D9" s="9">
        <v>200</v>
      </c>
      <c r="E9" s="63" t="s">
        <v>38</v>
      </c>
      <c r="F9" s="19">
        <v>1</v>
      </c>
      <c r="G9" s="19">
        <v>15</v>
      </c>
      <c r="H9" s="9">
        <v>9951584608</v>
      </c>
      <c r="I9" s="20">
        <v>260000</v>
      </c>
      <c r="J9" s="64">
        <v>10000</v>
      </c>
      <c r="K9" s="29">
        <f>SUM(I9-J9-O9-Q9-S9-U9-W9-Y9-AA9-AC9-AE9-AG9-AI9-AK9-AM9-AO9-AQ9-AS9-AU9-AW9-AY9-BC9-BE9-BA9-BG9)</f>
        <v>0</v>
      </c>
      <c r="L9" s="23">
        <v>9600</v>
      </c>
      <c r="M9" s="10" t="s">
        <v>30</v>
      </c>
      <c r="N9" s="16">
        <v>43985</v>
      </c>
      <c r="O9" s="64">
        <v>40000</v>
      </c>
      <c r="P9" s="16">
        <v>44014</v>
      </c>
      <c r="Q9" s="65">
        <v>9600</v>
      </c>
      <c r="R9" s="30">
        <v>44044</v>
      </c>
      <c r="S9" s="65">
        <v>9600</v>
      </c>
      <c r="T9" s="37">
        <v>44081</v>
      </c>
      <c r="U9" s="65">
        <v>9600</v>
      </c>
      <c r="V9" s="39">
        <v>44111</v>
      </c>
      <c r="W9" s="66">
        <v>9600</v>
      </c>
      <c r="X9" s="39">
        <v>44148</v>
      </c>
      <c r="Y9" s="66">
        <v>9600</v>
      </c>
      <c r="Z9" s="39">
        <v>44188</v>
      </c>
      <c r="AA9" s="66">
        <v>9600</v>
      </c>
      <c r="AB9" s="37">
        <v>44217</v>
      </c>
      <c r="AC9" s="66">
        <v>9600</v>
      </c>
      <c r="AD9" s="37">
        <v>44260</v>
      </c>
      <c r="AE9" s="67">
        <v>9600</v>
      </c>
      <c r="AF9" s="39">
        <v>44295</v>
      </c>
      <c r="AG9" s="67">
        <v>9600</v>
      </c>
      <c r="AH9" s="37">
        <v>44336</v>
      </c>
      <c r="AI9" s="67">
        <v>9600</v>
      </c>
      <c r="AJ9" s="37">
        <v>44377</v>
      </c>
      <c r="AK9" s="67">
        <v>10600</v>
      </c>
      <c r="AL9" s="37">
        <v>44421</v>
      </c>
      <c r="AM9" s="67">
        <v>8600</v>
      </c>
      <c r="AN9" s="37">
        <v>44449</v>
      </c>
      <c r="AO9" s="67">
        <v>9600</v>
      </c>
      <c r="AP9" s="37">
        <v>44522</v>
      </c>
      <c r="AQ9" s="67">
        <v>9600</v>
      </c>
      <c r="AR9" s="37">
        <v>44586</v>
      </c>
      <c r="AS9" s="67">
        <v>8000</v>
      </c>
      <c r="AT9" s="37">
        <v>44635</v>
      </c>
      <c r="AU9" s="68">
        <v>9600</v>
      </c>
      <c r="AV9" s="37">
        <v>44669</v>
      </c>
      <c r="AW9" s="68">
        <v>9600</v>
      </c>
      <c r="AX9" s="39">
        <v>44699</v>
      </c>
      <c r="AY9" s="68">
        <v>9600</v>
      </c>
      <c r="AZ9" s="39">
        <v>44733</v>
      </c>
      <c r="BA9" s="68">
        <v>9600</v>
      </c>
      <c r="BB9" s="39">
        <v>44774</v>
      </c>
      <c r="BC9" s="68">
        <v>9600</v>
      </c>
      <c r="BD9" s="39">
        <v>44823</v>
      </c>
      <c r="BE9" s="68">
        <v>9600</v>
      </c>
      <c r="BF9" s="39">
        <v>44856</v>
      </c>
      <c r="BG9" s="68">
        <v>10000</v>
      </c>
      <c r="BH9" s="69" t="s">
        <v>17</v>
      </c>
      <c r="BI9" s="42">
        <v>2600</v>
      </c>
      <c r="BJ9" s="3"/>
      <c r="BK9" s="3"/>
      <c r="BL9" s="3"/>
      <c r="BM9" s="3"/>
      <c r="BN9" s="3"/>
      <c r="BO9" s="3"/>
      <c r="BP9" s="3"/>
      <c r="BQ9" s="3"/>
    </row>
    <row r="10" spans="1:71" ht="15.75" customHeight="1">
      <c r="A10" s="16">
        <v>43994</v>
      </c>
      <c r="B10" s="26" t="s">
        <v>39</v>
      </c>
      <c r="C10" s="31" t="s">
        <v>24</v>
      </c>
      <c r="D10" s="9">
        <v>400</v>
      </c>
      <c r="E10" s="70" t="s">
        <v>40</v>
      </c>
      <c r="F10" s="19">
        <v>1</v>
      </c>
      <c r="G10" s="19" t="s">
        <v>41</v>
      </c>
      <c r="H10" s="9">
        <v>9076861192</v>
      </c>
      <c r="I10" s="20">
        <v>560800</v>
      </c>
      <c r="J10" s="71">
        <v>43839</v>
      </c>
      <c r="K10" s="29">
        <f>SUM(I10-J10-O10-Q10-S10-U10-W10-Y10-AA10-AC10-AE10-AG10-AI10-AK10)</f>
        <v>74292</v>
      </c>
      <c r="L10" s="23">
        <v>19200</v>
      </c>
      <c r="M10" s="10" t="s">
        <v>30</v>
      </c>
      <c r="N10" s="16">
        <v>43997</v>
      </c>
      <c r="O10" s="71">
        <v>56161</v>
      </c>
      <c r="P10" s="16">
        <v>44013</v>
      </c>
      <c r="Q10" s="36">
        <v>38400</v>
      </c>
      <c r="R10" s="30">
        <v>44074</v>
      </c>
      <c r="S10" s="36">
        <v>38404</v>
      </c>
      <c r="T10" s="37">
        <v>44256</v>
      </c>
      <c r="U10" s="72">
        <v>38404</v>
      </c>
      <c r="V10" s="39">
        <v>44315</v>
      </c>
      <c r="W10" s="38">
        <v>38400</v>
      </c>
      <c r="X10" s="39">
        <v>44376</v>
      </c>
      <c r="Y10" s="38">
        <v>38400</v>
      </c>
      <c r="Z10" s="39">
        <v>44432</v>
      </c>
      <c r="AA10" s="38">
        <v>38400</v>
      </c>
      <c r="AB10" s="37">
        <v>44499</v>
      </c>
      <c r="AC10" s="38">
        <v>38400</v>
      </c>
      <c r="AD10" s="37">
        <v>44564</v>
      </c>
      <c r="AE10" s="40">
        <v>38400</v>
      </c>
      <c r="AF10" s="39">
        <v>44622</v>
      </c>
      <c r="AG10" s="40">
        <v>38400</v>
      </c>
      <c r="AH10" s="37">
        <v>44685</v>
      </c>
      <c r="AI10" s="40">
        <v>38400</v>
      </c>
      <c r="AJ10" s="37">
        <v>44963</v>
      </c>
      <c r="AK10" s="40">
        <v>2500</v>
      </c>
      <c r="AL10" s="11"/>
      <c r="AM10" s="14"/>
      <c r="AN10" s="11"/>
      <c r="AO10" s="14"/>
      <c r="AP10" s="11"/>
      <c r="AQ10" s="14"/>
      <c r="AR10" s="11"/>
      <c r="AS10" s="14"/>
      <c r="AT10" s="11"/>
      <c r="AU10" s="3"/>
      <c r="AV10" s="11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71" ht="15">
      <c r="A11" s="16">
        <v>43980</v>
      </c>
      <c r="B11" s="17" t="s">
        <v>44</v>
      </c>
      <c r="C11" s="3">
        <v>10</v>
      </c>
      <c r="D11" s="9">
        <v>200</v>
      </c>
      <c r="E11" s="18" t="s">
        <v>14</v>
      </c>
      <c r="F11" s="19">
        <v>1</v>
      </c>
      <c r="G11" s="19">
        <v>7</v>
      </c>
      <c r="H11" s="9">
        <v>9186424119</v>
      </c>
      <c r="I11" s="20">
        <v>280400</v>
      </c>
      <c r="J11" s="21">
        <v>5000</v>
      </c>
      <c r="K11" s="29">
        <f>SUM(I11-J11-O11-Q11-W11-AA11-AC11-AE11-AG11-AI11-AK11-U11-AM11-Y11-AO11-AQ11-AS11-AU11-AW11-AY11-BA11-BC11-BE11-BG11-BI11-BK11-BM11)</f>
        <v>0</v>
      </c>
      <c r="L11" s="23">
        <v>9600</v>
      </c>
      <c r="M11" s="10" t="s">
        <v>30</v>
      </c>
      <c r="N11" s="16">
        <v>44012</v>
      </c>
      <c r="O11" s="21">
        <v>20000</v>
      </c>
      <c r="P11" s="16">
        <v>44041</v>
      </c>
      <c r="Q11" s="21">
        <v>25000</v>
      </c>
      <c r="R11" s="77" t="s">
        <v>26</v>
      </c>
      <c r="S11" s="25">
        <v>500</v>
      </c>
      <c r="T11" s="56">
        <v>44437</v>
      </c>
      <c r="U11" s="78">
        <v>9600</v>
      </c>
      <c r="V11" s="37">
        <v>44103</v>
      </c>
      <c r="W11" s="53">
        <v>9800</v>
      </c>
      <c r="X11" s="56">
        <v>44134</v>
      </c>
      <c r="Y11" s="78">
        <v>9400</v>
      </c>
      <c r="Z11" s="39">
        <v>44165</v>
      </c>
      <c r="AA11" s="78">
        <v>9600</v>
      </c>
      <c r="AB11" s="39">
        <v>44194</v>
      </c>
      <c r="AC11" s="78">
        <v>9600</v>
      </c>
      <c r="AD11" s="39">
        <v>44225</v>
      </c>
      <c r="AE11" s="79">
        <v>9600</v>
      </c>
      <c r="AF11" s="37">
        <v>44258</v>
      </c>
      <c r="AG11" s="79">
        <v>9600</v>
      </c>
      <c r="AH11" s="80">
        <v>44285</v>
      </c>
      <c r="AI11" s="79">
        <v>9600</v>
      </c>
      <c r="AJ11" s="37">
        <v>44316</v>
      </c>
      <c r="AK11" s="79">
        <v>9600</v>
      </c>
      <c r="AL11" s="37">
        <v>44352</v>
      </c>
      <c r="AM11" s="79">
        <v>9600</v>
      </c>
      <c r="AN11" s="37">
        <v>44379</v>
      </c>
      <c r="AO11" s="79">
        <v>9600</v>
      </c>
      <c r="AP11" s="37">
        <v>44407</v>
      </c>
      <c r="AQ11" s="79">
        <v>9600</v>
      </c>
      <c r="AR11" s="37">
        <v>44438</v>
      </c>
      <c r="AS11" s="79">
        <v>9600</v>
      </c>
      <c r="AT11" s="37">
        <v>44474</v>
      </c>
      <c r="AU11" s="81">
        <v>9600</v>
      </c>
      <c r="AV11" s="37">
        <v>44499</v>
      </c>
      <c r="AW11" s="81">
        <v>9600</v>
      </c>
      <c r="AX11" s="39">
        <v>44529</v>
      </c>
      <c r="AY11" s="81">
        <v>9600</v>
      </c>
      <c r="AZ11" s="39">
        <v>44564</v>
      </c>
      <c r="BA11" s="81">
        <v>9600</v>
      </c>
      <c r="BB11" s="39">
        <v>44588</v>
      </c>
      <c r="BC11" s="81">
        <v>9600</v>
      </c>
      <c r="BD11" s="39">
        <v>44618</v>
      </c>
      <c r="BE11" s="81">
        <v>9600</v>
      </c>
      <c r="BF11" s="39">
        <v>44644</v>
      </c>
      <c r="BG11" s="81">
        <v>9600</v>
      </c>
      <c r="BH11" s="39">
        <v>44691</v>
      </c>
      <c r="BI11" s="81">
        <v>9600</v>
      </c>
      <c r="BJ11" s="39">
        <v>44721</v>
      </c>
      <c r="BK11" s="81">
        <v>15000</v>
      </c>
      <c r="BL11" s="39">
        <v>44771</v>
      </c>
      <c r="BM11" s="81">
        <v>13800</v>
      </c>
      <c r="BN11" s="75" t="s">
        <v>17</v>
      </c>
      <c r="BO11" s="76">
        <v>1800</v>
      </c>
      <c r="BP11" s="3"/>
      <c r="BQ11" s="3"/>
      <c r="BR11" s="3"/>
      <c r="BS11" s="3"/>
    </row>
    <row r="12" spans="1:71" ht="15">
      <c r="A12" s="16">
        <v>44170</v>
      </c>
      <c r="B12" s="17" t="s">
        <v>45</v>
      </c>
      <c r="C12" s="3">
        <v>5</v>
      </c>
      <c r="D12" s="9">
        <v>200</v>
      </c>
      <c r="E12" s="9" t="s">
        <v>46</v>
      </c>
      <c r="F12" s="19">
        <v>1</v>
      </c>
      <c r="G12" s="19">
        <v>4</v>
      </c>
      <c r="H12" s="9">
        <v>9204721099</v>
      </c>
      <c r="I12" s="20">
        <v>236400</v>
      </c>
      <c r="J12" s="36">
        <v>20000</v>
      </c>
      <c r="K12" s="29">
        <f>SUM(I12-J12-O12-Q12-S12-U12-W12-AA12-AC12-AE12-Y12)</f>
        <v>0</v>
      </c>
      <c r="L12" s="23">
        <v>9600</v>
      </c>
      <c r="M12" s="10" t="s">
        <v>30</v>
      </c>
      <c r="N12" s="16">
        <v>43991</v>
      </c>
      <c r="O12" s="36">
        <v>30000</v>
      </c>
      <c r="P12" s="30">
        <v>43991</v>
      </c>
      <c r="Q12" s="36">
        <v>9600</v>
      </c>
      <c r="R12" s="37">
        <v>44028</v>
      </c>
      <c r="S12" s="72">
        <v>19200</v>
      </c>
      <c r="T12" s="39">
        <v>44116</v>
      </c>
      <c r="U12" s="72">
        <v>19200</v>
      </c>
      <c r="V12" s="39">
        <v>44147</v>
      </c>
      <c r="W12" s="38">
        <v>9600</v>
      </c>
      <c r="X12" s="56">
        <v>44183</v>
      </c>
      <c r="Y12" s="38">
        <v>9600</v>
      </c>
      <c r="Z12" s="39">
        <v>44208</v>
      </c>
      <c r="AA12" s="38">
        <v>9600</v>
      </c>
      <c r="AB12" s="37">
        <v>44246</v>
      </c>
      <c r="AC12" s="38">
        <v>9600</v>
      </c>
      <c r="AD12" s="37">
        <v>44261</v>
      </c>
      <c r="AE12" s="40">
        <v>100000</v>
      </c>
      <c r="AF12" s="51" t="s">
        <v>17</v>
      </c>
      <c r="AG12" s="82">
        <v>1000</v>
      </c>
      <c r="AH12" s="11"/>
      <c r="AI12" s="14"/>
      <c r="AJ12" s="11"/>
      <c r="AK12" s="14"/>
      <c r="AL12" s="11"/>
      <c r="AM12" s="14"/>
      <c r="AN12" s="11"/>
      <c r="AO12" s="14"/>
      <c r="AP12" s="11"/>
      <c r="AQ12" s="14"/>
      <c r="AR12" s="11"/>
      <c r="AS12" s="14"/>
      <c r="AT12" s="11"/>
      <c r="AU12" s="3"/>
      <c r="AV12" s="11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spans="1:71" ht="15">
      <c r="A13" s="16" t="s">
        <v>47</v>
      </c>
      <c r="B13" s="83" t="s">
        <v>48</v>
      </c>
      <c r="C13" s="31" t="s">
        <v>24</v>
      </c>
      <c r="D13" s="3">
        <v>314</v>
      </c>
      <c r="E13" s="70" t="s">
        <v>40</v>
      </c>
      <c r="F13" s="19">
        <v>2</v>
      </c>
      <c r="G13" s="19">
        <v>15</v>
      </c>
      <c r="H13" s="84" t="s">
        <v>49</v>
      </c>
      <c r="I13" s="85">
        <v>440228</v>
      </c>
      <c r="J13" s="86">
        <v>99600</v>
      </c>
      <c r="K13" s="29">
        <f>SUM(I13-J13)</f>
        <v>340628</v>
      </c>
      <c r="L13" s="87" t="s">
        <v>15</v>
      </c>
      <c r="M13" s="20" t="s">
        <v>50</v>
      </c>
      <c r="N13" s="16"/>
      <c r="O13" s="36"/>
      <c r="P13" s="30"/>
      <c r="Q13" s="36"/>
      <c r="R13" s="11"/>
      <c r="T13" s="3"/>
      <c r="U13" s="12"/>
      <c r="V13" s="3"/>
      <c r="W13" s="13"/>
      <c r="X13" s="3"/>
      <c r="Y13" s="13"/>
      <c r="Z13" s="11"/>
      <c r="AA13" s="13"/>
      <c r="AB13" s="11"/>
      <c r="AC13" s="88"/>
      <c r="AD13" s="3"/>
      <c r="AE13" s="14"/>
      <c r="AF13" s="89"/>
      <c r="AG13" s="14"/>
      <c r="AH13" s="11"/>
      <c r="AI13" s="14"/>
      <c r="AJ13" s="11"/>
      <c r="AK13" s="14"/>
      <c r="AL13" s="11"/>
      <c r="AM13" s="14"/>
      <c r="AN13" s="11"/>
      <c r="AO13" s="14"/>
      <c r="AP13" s="11"/>
      <c r="AQ13" s="14"/>
      <c r="AR13" s="11"/>
      <c r="AS13" s="14"/>
      <c r="AT13" s="11"/>
      <c r="AU13" s="3"/>
      <c r="AV13" s="11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71" ht="15">
      <c r="A14" s="16">
        <v>45433</v>
      </c>
      <c r="B14" s="83" t="s">
        <v>51</v>
      </c>
      <c r="C14" s="3">
        <v>3</v>
      </c>
      <c r="D14" s="3">
        <v>200</v>
      </c>
      <c r="E14" s="90" t="s">
        <v>52</v>
      </c>
      <c r="F14" s="19">
        <v>2</v>
      </c>
      <c r="G14" s="19">
        <v>6</v>
      </c>
      <c r="H14" s="84">
        <v>9505136081</v>
      </c>
      <c r="I14" s="85">
        <v>414400</v>
      </c>
      <c r="J14" s="91">
        <v>5000</v>
      </c>
      <c r="K14" s="29">
        <f>I14-J14-O14-Q14-S14-U14-W14-Y14</f>
        <v>332400</v>
      </c>
      <c r="L14" s="55">
        <v>13200</v>
      </c>
      <c r="M14" s="20" t="s">
        <v>296</v>
      </c>
      <c r="N14" s="16">
        <v>45387</v>
      </c>
      <c r="O14" s="91">
        <v>7500</v>
      </c>
      <c r="P14" s="30">
        <v>45419</v>
      </c>
      <c r="Q14" s="91">
        <v>10500</v>
      </c>
      <c r="R14" s="37">
        <v>45481</v>
      </c>
      <c r="S14" s="92">
        <v>15000</v>
      </c>
      <c r="T14" s="39">
        <v>45693</v>
      </c>
      <c r="U14" s="92">
        <v>9000</v>
      </c>
      <c r="V14" s="39">
        <v>46104</v>
      </c>
      <c r="W14" s="883">
        <v>5000</v>
      </c>
      <c r="X14" s="39">
        <v>46261</v>
      </c>
      <c r="Y14" s="38">
        <v>30000</v>
      </c>
      <c r="Z14" s="11"/>
      <c r="AA14" s="13"/>
      <c r="AB14" s="11"/>
      <c r="AC14" s="88"/>
      <c r="AD14" s="3"/>
      <c r="AE14" s="14"/>
      <c r="AF14" s="89"/>
      <c r="AG14" s="14"/>
      <c r="AH14" s="11"/>
      <c r="AI14" s="14"/>
      <c r="AJ14" s="11"/>
      <c r="AK14" s="14"/>
      <c r="AL14" s="11"/>
      <c r="AM14" s="14"/>
      <c r="AN14" s="11"/>
      <c r="AO14" s="14"/>
      <c r="AP14" s="11"/>
      <c r="AQ14" s="14"/>
      <c r="AR14" s="11"/>
      <c r="AS14" s="14"/>
      <c r="AT14" s="11"/>
      <c r="AU14" s="3"/>
      <c r="AV14" s="11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71" ht="15">
      <c r="A15" s="39">
        <v>43983</v>
      </c>
      <c r="B15" s="17" t="s">
        <v>54</v>
      </c>
      <c r="C15" s="3">
        <v>10</v>
      </c>
      <c r="D15" s="3">
        <v>600</v>
      </c>
      <c r="E15" s="93" t="s">
        <v>55</v>
      </c>
      <c r="F15" s="19">
        <v>1</v>
      </c>
      <c r="G15" s="19">
        <v>1</v>
      </c>
      <c r="I15" s="52">
        <v>900000</v>
      </c>
      <c r="J15" s="94">
        <v>100000</v>
      </c>
      <c r="K15" s="54">
        <f>SUM(I15-J15-O15-Q15-S15-U15-W15-Y15-AA15-AC15-AE15-AG15-AI15-AK15-AM15-AO15-AQ15-AS15-AU15)</f>
        <v>0</v>
      </c>
      <c r="L15" s="55">
        <v>37500</v>
      </c>
      <c r="M15" s="3" t="s">
        <v>53</v>
      </c>
      <c r="N15" s="56">
        <v>44013</v>
      </c>
      <c r="O15" s="94">
        <v>80000</v>
      </c>
      <c r="P15" s="56">
        <v>44046</v>
      </c>
      <c r="Q15" s="94">
        <v>37500</v>
      </c>
      <c r="R15" s="56">
        <v>44077</v>
      </c>
      <c r="S15" s="94">
        <v>37500</v>
      </c>
      <c r="T15" s="56">
        <v>44111</v>
      </c>
      <c r="U15" s="94">
        <v>37500</v>
      </c>
      <c r="V15" s="56">
        <v>44148</v>
      </c>
      <c r="W15" s="95">
        <v>37500</v>
      </c>
      <c r="X15" s="56">
        <v>44195</v>
      </c>
      <c r="Y15" s="95">
        <v>37500</v>
      </c>
      <c r="Z15" s="56">
        <v>44207</v>
      </c>
      <c r="AA15" s="95">
        <v>37500</v>
      </c>
      <c r="AB15" s="56">
        <v>44267</v>
      </c>
      <c r="AC15" s="96">
        <v>75000</v>
      </c>
      <c r="AD15" s="56">
        <v>44338</v>
      </c>
      <c r="AE15" s="95">
        <v>37500</v>
      </c>
      <c r="AF15" s="56">
        <v>44378</v>
      </c>
      <c r="AG15" s="95">
        <v>37500</v>
      </c>
      <c r="AH15" s="80">
        <v>44412</v>
      </c>
      <c r="AI15" s="95">
        <v>37500</v>
      </c>
      <c r="AJ15" s="80">
        <v>44512</v>
      </c>
      <c r="AK15" s="97">
        <v>37500</v>
      </c>
      <c r="AL15" s="80">
        <v>44534</v>
      </c>
      <c r="AM15" s="97">
        <v>37500</v>
      </c>
      <c r="AN15" s="80">
        <v>44566</v>
      </c>
      <c r="AO15" s="97">
        <v>37500</v>
      </c>
      <c r="AP15" s="80">
        <v>44614</v>
      </c>
      <c r="AQ15" s="97">
        <v>37500</v>
      </c>
      <c r="AR15" s="80">
        <v>44800</v>
      </c>
      <c r="AS15" s="97">
        <v>75000</v>
      </c>
      <c r="AT15" s="80">
        <v>44813</v>
      </c>
      <c r="AU15" s="98">
        <v>82500</v>
      </c>
      <c r="AV15" s="99" t="s">
        <v>17</v>
      </c>
      <c r="AW15" s="100">
        <v>4000</v>
      </c>
    </row>
    <row r="16" spans="1:71" ht="15">
      <c r="A16" s="16">
        <v>43973</v>
      </c>
      <c r="B16" s="26" t="s">
        <v>56</v>
      </c>
      <c r="C16" s="3">
        <v>10</v>
      </c>
      <c r="D16" s="9">
        <v>200</v>
      </c>
      <c r="E16" s="101" t="s">
        <v>57</v>
      </c>
      <c r="F16" s="19">
        <v>1</v>
      </c>
      <c r="G16" s="19">
        <v>6</v>
      </c>
      <c r="H16" s="9">
        <v>9480168342</v>
      </c>
      <c r="I16" s="20">
        <v>280200</v>
      </c>
      <c r="J16" s="102">
        <v>5000</v>
      </c>
      <c r="K16" s="29">
        <f>SUM(I16-J16-O16-Q16-S16-U16-W16-Y16-AA16-AC16-AE16-AG16-AI16-AK16)</f>
        <v>0</v>
      </c>
      <c r="L16" s="23" t="s">
        <v>58</v>
      </c>
      <c r="M16" s="10" t="s">
        <v>59</v>
      </c>
      <c r="N16" s="16">
        <v>43994</v>
      </c>
      <c r="O16" s="102">
        <v>115000</v>
      </c>
      <c r="P16" s="16">
        <v>44036</v>
      </c>
      <c r="Q16" s="102">
        <v>6000</v>
      </c>
      <c r="R16" s="30">
        <v>44208</v>
      </c>
      <c r="S16" s="102">
        <v>6000</v>
      </c>
      <c r="T16" s="37">
        <v>44250</v>
      </c>
      <c r="U16" s="102">
        <v>6000</v>
      </c>
      <c r="V16" s="39">
        <v>44319</v>
      </c>
      <c r="W16" s="102">
        <v>6000</v>
      </c>
      <c r="X16" s="39">
        <v>44338</v>
      </c>
      <c r="Y16" s="102">
        <v>6000</v>
      </c>
      <c r="Z16" s="39">
        <v>44529</v>
      </c>
      <c r="AA16" s="103">
        <v>5000</v>
      </c>
      <c r="AB16" s="37">
        <v>44701</v>
      </c>
      <c r="AC16" s="103">
        <v>10200</v>
      </c>
      <c r="AD16" s="104" t="s">
        <v>60</v>
      </c>
      <c r="AE16" s="40">
        <v>54600</v>
      </c>
      <c r="AF16" s="39">
        <v>45280</v>
      </c>
      <c r="AG16" s="105">
        <v>5400</v>
      </c>
      <c r="AH16" s="37">
        <v>45313</v>
      </c>
      <c r="AI16" s="105">
        <v>15000</v>
      </c>
      <c r="AJ16" s="37">
        <v>45416</v>
      </c>
      <c r="AK16" s="105">
        <v>40000</v>
      </c>
      <c r="AL16" s="778" t="s">
        <v>17</v>
      </c>
      <c r="AM16" s="134">
        <v>1000</v>
      </c>
      <c r="AN16" s="11"/>
      <c r="AO16" s="14"/>
      <c r="AP16" s="11"/>
      <c r="AQ16" s="14"/>
      <c r="AR16" s="11"/>
      <c r="AS16" s="14"/>
      <c r="AT16" s="11"/>
      <c r="AU16" s="3"/>
      <c r="AV16" s="11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7" s="769" customFormat="1" ht="15">
      <c r="A17" s="867" t="s">
        <v>711</v>
      </c>
      <c r="B17" s="810" t="s">
        <v>712</v>
      </c>
      <c r="C17" s="767"/>
      <c r="D17" s="809">
        <v>200</v>
      </c>
      <c r="E17" s="809"/>
      <c r="F17" s="781"/>
      <c r="G17" s="781"/>
      <c r="H17" s="809"/>
      <c r="I17" s="811">
        <v>196000</v>
      </c>
      <c r="J17" s="868">
        <v>196000</v>
      </c>
      <c r="K17" s="813">
        <f>I17-J17</f>
        <v>0</v>
      </c>
      <c r="L17" s="870"/>
      <c r="M17" s="815"/>
      <c r="N17" s="867"/>
      <c r="O17" s="868"/>
      <c r="P17" s="867"/>
      <c r="Q17" s="868"/>
      <c r="R17" s="816"/>
      <c r="S17" s="868"/>
      <c r="T17" s="822"/>
      <c r="U17" s="868"/>
      <c r="V17" s="768"/>
      <c r="W17" s="868"/>
      <c r="X17" s="768"/>
      <c r="Y17" s="868"/>
      <c r="Z17" s="768"/>
      <c r="AA17" s="894"/>
      <c r="AB17" s="822"/>
      <c r="AC17" s="894"/>
      <c r="AD17" s="895"/>
      <c r="AE17" s="896"/>
      <c r="AF17" s="768"/>
      <c r="AG17" s="770"/>
      <c r="AH17" s="822"/>
      <c r="AI17" s="770"/>
      <c r="AJ17" s="822"/>
      <c r="AK17" s="770"/>
      <c r="AL17" s="822"/>
      <c r="AM17" s="896"/>
      <c r="AN17" s="817"/>
      <c r="AO17" s="874"/>
      <c r="AP17" s="817"/>
      <c r="AQ17" s="874"/>
      <c r="AR17" s="817"/>
      <c r="AS17" s="874"/>
      <c r="AT17" s="817"/>
      <c r="AU17" s="767"/>
      <c r="AV17" s="817"/>
      <c r="AW17" s="767"/>
      <c r="AX17" s="767"/>
      <c r="AY17" s="767"/>
      <c r="AZ17" s="767"/>
      <c r="BA17" s="767"/>
      <c r="BB17" s="767"/>
      <c r="BC17" s="767"/>
      <c r="BD17" s="767"/>
      <c r="BE17" s="767"/>
      <c r="BF17" s="767"/>
      <c r="BG17" s="767"/>
      <c r="BH17" s="767"/>
      <c r="BI17" s="767"/>
      <c r="BJ17" s="767"/>
      <c r="BK17" s="767"/>
      <c r="BL17" s="767"/>
      <c r="BM17" s="767"/>
      <c r="BN17" s="767"/>
      <c r="BO17" s="767"/>
    </row>
    <row r="18" spans="1:67" ht="15">
      <c r="A18" s="16">
        <v>43960</v>
      </c>
      <c r="B18" s="17" t="s">
        <v>61</v>
      </c>
      <c r="C18" s="3">
        <v>10</v>
      </c>
      <c r="D18" s="9">
        <v>200</v>
      </c>
      <c r="E18" s="106" t="s">
        <v>62</v>
      </c>
      <c r="F18" s="19">
        <v>1</v>
      </c>
      <c r="G18" s="19">
        <v>3</v>
      </c>
      <c r="H18" s="9">
        <v>9067742903</v>
      </c>
      <c r="I18" s="20">
        <v>280400</v>
      </c>
      <c r="J18" s="107">
        <v>15000</v>
      </c>
      <c r="K18" s="29">
        <f>SUM(I18-J18-O18-Q18-U18-W18-Y18-AA18-AC18-AE18-AG18-AI18-AK18-AM18-AO18-AQ18-AS18-AU18-AW18-AY18)</f>
        <v>0</v>
      </c>
      <c r="L18" s="23">
        <v>9600</v>
      </c>
      <c r="M18" s="10" t="s">
        <v>30</v>
      </c>
      <c r="N18" s="16">
        <v>43993</v>
      </c>
      <c r="O18" s="107">
        <v>35000</v>
      </c>
      <c r="P18" s="16">
        <v>44035</v>
      </c>
      <c r="Q18" s="107">
        <v>9600</v>
      </c>
      <c r="R18" s="77" t="s">
        <v>63</v>
      </c>
      <c r="S18" s="108">
        <v>500</v>
      </c>
      <c r="T18" s="37">
        <v>44072</v>
      </c>
      <c r="U18" s="109">
        <v>9600</v>
      </c>
      <c r="V18" s="39">
        <v>44146</v>
      </c>
      <c r="W18" s="110">
        <v>9600</v>
      </c>
      <c r="X18" s="39">
        <v>44166</v>
      </c>
      <c r="Y18" s="110">
        <v>9600</v>
      </c>
      <c r="Z18" s="39">
        <v>44195</v>
      </c>
      <c r="AA18" s="110">
        <v>9600</v>
      </c>
      <c r="AB18" s="37">
        <v>44229</v>
      </c>
      <c r="AC18" s="110">
        <v>9600</v>
      </c>
      <c r="AD18" s="37">
        <v>44285</v>
      </c>
      <c r="AE18" s="111">
        <v>9600</v>
      </c>
      <c r="AF18" s="39">
        <v>44333</v>
      </c>
      <c r="AG18" s="111">
        <v>9600</v>
      </c>
      <c r="AH18" s="37">
        <v>44362</v>
      </c>
      <c r="AI18" s="111">
        <v>9600</v>
      </c>
      <c r="AJ18" s="37">
        <v>44391</v>
      </c>
      <c r="AK18" s="111">
        <v>9600</v>
      </c>
      <c r="AL18" s="37">
        <v>44452</v>
      </c>
      <c r="AM18" s="111">
        <v>19200</v>
      </c>
      <c r="AN18" s="37">
        <v>44512</v>
      </c>
      <c r="AO18" s="111">
        <v>9600</v>
      </c>
      <c r="AP18" s="37">
        <v>44546</v>
      </c>
      <c r="AQ18" s="111">
        <v>9600</v>
      </c>
      <c r="AR18" s="37">
        <v>44606</v>
      </c>
      <c r="AS18" s="111">
        <v>9600</v>
      </c>
      <c r="AT18" s="37">
        <v>44671</v>
      </c>
      <c r="AU18" s="112">
        <v>5000</v>
      </c>
      <c r="AV18" s="37">
        <v>44695</v>
      </c>
      <c r="AW18" s="112">
        <v>9600</v>
      </c>
      <c r="AX18" s="39">
        <v>44730</v>
      </c>
      <c r="AY18" s="112">
        <v>71800</v>
      </c>
      <c r="AZ18" s="51" t="s">
        <v>17</v>
      </c>
      <c r="BA18" s="42">
        <v>1000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7" ht="15">
      <c r="A19" s="16" t="s">
        <v>64</v>
      </c>
      <c r="B19" s="17" t="s">
        <v>65</v>
      </c>
      <c r="C19" s="3">
        <v>10</v>
      </c>
      <c r="D19" s="9">
        <v>200</v>
      </c>
      <c r="E19" s="43" t="s">
        <v>29</v>
      </c>
      <c r="F19" s="19">
        <v>2</v>
      </c>
      <c r="G19" s="19">
        <v>14</v>
      </c>
      <c r="H19" s="9">
        <v>9261715093</v>
      </c>
      <c r="I19" s="20">
        <v>260000</v>
      </c>
      <c r="J19" s="44">
        <v>15000</v>
      </c>
      <c r="K19" s="29">
        <f>SUM(I19-J19-O19-Q19-S19-U19-W19-Y19-AA19-AC19-AE19-AG19)</f>
        <v>0</v>
      </c>
      <c r="L19" s="23">
        <v>17500</v>
      </c>
      <c r="M19" s="10" t="s">
        <v>66</v>
      </c>
      <c r="N19" s="16">
        <v>44015</v>
      </c>
      <c r="O19" s="44">
        <v>15000</v>
      </c>
      <c r="P19" s="16">
        <v>44050</v>
      </c>
      <c r="Q19" s="44">
        <v>10000</v>
      </c>
      <c r="R19" s="30">
        <v>44078</v>
      </c>
      <c r="S19" s="44">
        <v>10000</v>
      </c>
      <c r="T19" s="39">
        <v>44172</v>
      </c>
      <c r="U19" s="45">
        <v>31500</v>
      </c>
      <c r="V19" s="39">
        <v>44237</v>
      </c>
      <c r="W19" s="45">
        <v>20000</v>
      </c>
      <c r="X19" s="39">
        <v>44307</v>
      </c>
      <c r="Y19" s="45">
        <v>35000</v>
      </c>
      <c r="Z19" s="37">
        <v>44355</v>
      </c>
      <c r="AA19" s="45">
        <v>30000</v>
      </c>
      <c r="AB19" s="37">
        <v>44412</v>
      </c>
      <c r="AC19" s="45">
        <v>30000</v>
      </c>
      <c r="AD19" s="39">
        <v>44474</v>
      </c>
      <c r="AE19" s="113">
        <v>26000</v>
      </c>
      <c r="AF19" s="37">
        <v>44539</v>
      </c>
      <c r="AG19" s="113">
        <v>37500</v>
      </c>
      <c r="AH19" s="41" t="s">
        <v>17</v>
      </c>
      <c r="AI19" s="82">
        <v>1000</v>
      </c>
      <c r="AJ19" s="11"/>
      <c r="AK19" s="14"/>
      <c r="AL19" s="11"/>
      <c r="AM19" s="14"/>
      <c r="AN19" s="11"/>
      <c r="AO19" s="14"/>
      <c r="AP19" s="11"/>
      <c r="AQ19" s="14"/>
      <c r="AR19" s="11"/>
      <c r="AS19" s="3"/>
      <c r="AT19" s="11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7" ht="15">
      <c r="A20" s="114" t="s">
        <v>67</v>
      </c>
      <c r="B20" s="115" t="s">
        <v>68</v>
      </c>
      <c r="C20" s="3">
        <v>10</v>
      </c>
      <c r="D20" s="9">
        <v>200</v>
      </c>
      <c r="E20" s="116" t="s">
        <v>20</v>
      </c>
      <c r="F20" s="19">
        <v>2</v>
      </c>
      <c r="G20" s="19">
        <v>8</v>
      </c>
      <c r="H20" s="9">
        <v>9751465485</v>
      </c>
      <c r="I20" s="20">
        <v>385600</v>
      </c>
      <c r="J20" s="28">
        <v>25000</v>
      </c>
      <c r="K20" s="29">
        <f>I20-J20</f>
        <v>360600</v>
      </c>
      <c r="L20" s="23">
        <v>9600</v>
      </c>
      <c r="M20" s="10" t="s">
        <v>69</v>
      </c>
      <c r="N20" s="16"/>
      <c r="O20" s="117"/>
      <c r="P20" s="118"/>
      <c r="Q20" s="117"/>
      <c r="R20" s="119"/>
      <c r="S20" s="117"/>
      <c r="T20" s="120"/>
      <c r="U20" s="121"/>
      <c r="V20" s="120"/>
      <c r="W20" s="121"/>
      <c r="X20" s="120"/>
      <c r="Y20" s="121"/>
      <c r="Z20" s="122"/>
      <c r="AA20" s="121"/>
      <c r="AB20" s="122"/>
      <c r="AC20" s="121"/>
      <c r="AD20" s="39"/>
      <c r="AE20" s="123"/>
      <c r="AF20" s="37"/>
      <c r="AG20" s="123"/>
      <c r="AH20" s="124"/>
      <c r="AI20" s="125"/>
      <c r="AJ20" s="11"/>
      <c r="AK20" s="14"/>
      <c r="AL20" s="11"/>
      <c r="AM20" s="14"/>
      <c r="AN20" s="11"/>
      <c r="AO20" s="14"/>
      <c r="AP20" s="11"/>
      <c r="AQ20" s="14"/>
      <c r="AR20" s="11"/>
      <c r="AS20" s="3"/>
      <c r="AT20" s="11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1:67" ht="15">
      <c r="A21" s="9" t="s">
        <v>70</v>
      </c>
      <c r="B21" s="292" t="s">
        <v>693</v>
      </c>
      <c r="C21" s="3">
        <v>10</v>
      </c>
      <c r="D21" s="9">
        <v>200</v>
      </c>
      <c r="E21" s="9" t="s">
        <v>15</v>
      </c>
      <c r="F21" s="19">
        <v>2</v>
      </c>
      <c r="G21" s="19">
        <v>4</v>
      </c>
      <c r="H21" s="9"/>
      <c r="I21" s="20">
        <v>380400</v>
      </c>
      <c r="J21" s="36">
        <v>73750</v>
      </c>
      <c r="K21" s="29">
        <f>SUM(I21-J21-O21)</f>
        <v>296650</v>
      </c>
      <c r="L21" s="126" t="s">
        <v>15</v>
      </c>
      <c r="M21" s="10" t="s">
        <v>692</v>
      </c>
      <c r="N21" s="16">
        <v>44017</v>
      </c>
      <c r="O21" s="36">
        <v>10000</v>
      </c>
      <c r="P21" s="24" t="s">
        <v>26</v>
      </c>
      <c r="Q21" s="25">
        <v>1256</v>
      </c>
      <c r="R21" s="10"/>
      <c r="S21" s="8"/>
      <c r="T21" s="11"/>
      <c r="U21" s="12"/>
      <c r="V21" s="3"/>
      <c r="W21" s="13"/>
      <c r="X21" s="3"/>
      <c r="Y21" s="13"/>
      <c r="Z21" s="3"/>
      <c r="AA21" s="13"/>
      <c r="AB21" s="11"/>
      <c r="AC21" s="13"/>
      <c r="AD21" s="11"/>
      <c r="AE21" s="14"/>
      <c r="AF21" s="3"/>
      <c r="AG21" s="14"/>
      <c r="AH21" s="11"/>
      <c r="AI21" s="14"/>
      <c r="AJ21" s="11"/>
      <c r="AK21" s="14"/>
      <c r="AL21" s="11"/>
      <c r="AM21" s="14"/>
      <c r="AN21" s="11"/>
      <c r="AO21" s="14"/>
      <c r="AP21" s="11"/>
      <c r="AQ21" s="14"/>
      <c r="AR21" s="11"/>
      <c r="AS21" s="14"/>
      <c r="AT21" s="11"/>
      <c r="AU21" s="3"/>
      <c r="AV21" s="11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1:67" ht="15">
      <c r="A22" s="16">
        <v>43997</v>
      </c>
      <c r="B22" s="26" t="s">
        <v>72</v>
      </c>
      <c r="C22" s="3">
        <v>10</v>
      </c>
      <c r="D22" s="9">
        <v>200</v>
      </c>
      <c r="E22" s="63" t="s">
        <v>73</v>
      </c>
      <c r="F22" s="19">
        <v>2</v>
      </c>
      <c r="G22" s="19">
        <v>12</v>
      </c>
      <c r="H22" s="9">
        <v>9658879881</v>
      </c>
      <c r="I22" s="20">
        <v>337200</v>
      </c>
      <c r="J22" s="64">
        <v>5000</v>
      </c>
      <c r="K22" s="29">
        <f>I22-J22-O22-Q22-S22-U22-W22-Y22-AC22-AA22-AE22-AG22-AI22-AK22-AM22-AO22-AQ22-AS22-AU22-AW22-AY22-BA22-BC22</f>
        <v>170200</v>
      </c>
      <c r="L22" s="23">
        <v>9600</v>
      </c>
      <c r="M22" s="10" t="s">
        <v>699</v>
      </c>
      <c r="N22" s="16">
        <v>44085</v>
      </c>
      <c r="O22" s="64">
        <v>10000</v>
      </c>
      <c r="P22" s="16">
        <v>44159</v>
      </c>
      <c r="Q22" s="64">
        <v>10000</v>
      </c>
      <c r="R22" s="30">
        <v>44228</v>
      </c>
      <c r="S22" s="64">
        <v>5000</v>
      </c>
      <c r="T22" s="37">
        <v>44333</v>
      </c>
      <c r="U22" s="64">
        <v>25000</v>
      </c>
      <c r="V22" s="39">
        <v>44529</v>
      </c>
      <c r="W22" s="127">
        <v>20000</v>
      </c>
      <c r="X22" s="39">
        <v>44578</v>
      </c>
      <c r="Y22" s="127">
        <v>5000</v>
      </c>
      <c r="Z22" s="39">
        <v>44771</v>
      </c>
      <c r="AA22" s="127">
        <v>5000</v>
      </c>
      <c r="AB22" s="37">
        <v>44809</v>
      </c>
      <c r="AC22" s="127">
        <v>10000</v>
      </c>
      <c r="AD22" s="37">
        <v>45182</v>
      </c>
      <c r="AE22" s="128">
        <v>10000</v>
      </c>
      <c r="AF22" s="39">
        <v>45289</v>
      </c>
      <c r="AG22" s="128">
        <v>5000</v>
      </c>
      <c r="AH22" s="37">
        <v>45296</v>
      </c>
      <c r="AI22" s="128">
        <v>5000</v>
      </c>
      <c r="AJ22" s="37">
        <v>45608</v>
      </c>
      <c r="AK22" s="128">
        <v>5000</v>
      </c>
      <c r="AL22" s="37">
        <v>45619</v>
      </c>
      <c r="AM22" s="128">
        <v>5000</v>
      </c>
      <c r="AN22" s="37">
        <v>45650</v>
      </c>
      <c r="AO22" s="128">
        <v>5000</v>
      </c>
      <c r="AP22" s="37">
        <v>45679</v>
      </c>
      <c r="AQ22" s="128">
        <v>10000</v>
      </c>
      <c r="AR22" s="37">
        <v>45660</v>
      </c>
      <c r="AS22" s="128">
        <v>1000</v>
      </c>
      <c r="AT22" s="37">
        <v>45660</v>
      </c>
      <c r="AU22" s="129">
        <v>1000</v>
      </c>
      <c r="AV22" s="37">
        <v>45701</v>
      </c>
      <c r="AW22" s="129">
        <v>10000</v>
      </c>
      <c r="AX22" s="39">
        <v>46172</v>
      </c>
      <c r="AY22" s="886">
        <v>5000</v>
      </c>
      <c r="AZ22" s="39">
        <v>46210</v>
      </c>
      <c r="BA22" s="886">
        <v>5000</v>
      </c>
      <c r="BB22" s="39">
        <v>46258</v>
      </c>
      <c r="BC22" s="52">
        <v>5000</v>
      </c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1:67" ht="15">
      <c r="A23" s="130" t="s">
        <v>74</v>
      </c>
      <c r="B23" s="26" t="s">
        <v>75</v>
      </c>
      <c r="C23" s="3">
        <v>10</v>
      </c>
      <c r="D23" s="9">
        <v>400</v>
      </c>
      <c r="E23" s="27" t="s">
        <v>20</v>
      </c>
      <c r="F23" s="19">
        <v>1</v>
      </c>
      <c r="G23" s="19">
        <v>2</v>
      </c>
      <c r="H23" s="9"/>
      <c r="I23" s="20">
        <v>540000</v>
      </c>
      <c r="J23" s="36">
        <v>540000</v>
      </c>
      <c r="K23" s="29">
        <f>I23-J23</f>
        <v>0</v>
      </c>
      <c r="L23" s="23"/>
      <c r="M23" s="10" t="s">
        <v>16</v>
      </c>
      <c r="N23" s="16"/>
      <c r="O23" s="36"/>
      <c r="P23" s="16"/>
      <c r="Q23" s="36"/>
      <c r="R23" s="30"/>
      <c r="S23" s="36"/>
      <c r="T23" s="37"/>
      <c r="U23" s="36"/>
      <c r="V23" s="39"/>
      <c r="W23" s="38"/>
      <c r="X23" s="39"/>
      <c r="Y23" s="38"/>
      <c r="Z23" s="39"/>
      <c r="AA23" s="38"/>
      <c r="AB23" s="37"/>
      <c r="AC23" s="38"/>
      <c r="AD23" s="37"/>
      <c r="AE23" s="40"/>
      <c r="AF23" s="39"/>
      <c r="AG23" s="40"/>
      <c r="AH23" s="37"/>
      <c r="AI23" s="40"/>
      <c r="AJ23" s="11"/>
      <c r="AK23" s="14"/>
      <c r="AL23" s="11"/>
      <c r="AM23" s="14"/>
      <c r="AN23" s="11"/>
      <c r="AO23" s="14"/>
      <c r="AP23" s="11"/>
      <c r="AQ23" s="14"/>
      <c r="AR23" s="11"/>
      <c r="AS23" s="14"/>
      <c r="AT23" s="11"/>
      <c r="AU23" s="3"/>
      <c r="AV23" s="11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1:67" ht="15">
      <c r="A24" s="16">
        <v>43990</v>
      </c>
      <c r="B24" s="26" t="s">
        <v>76</v>
      </c>
      <c r="C24" s="3">
        <v>10</v>
      </c>
      <c r="D24" s="9">
        <v>400</v>
      </c>
      <c r="E24" s="93" t="s">
        <v>55</v>
      </c>
      <c r="F24" s="19">
        <v>1</v>
      </c>
      <c r="G24" s="19" t="s">
        <v>77</v>
      </c>
      <c r="H24" s="9">
        <v>9273916129</v>
      </c>
      <c r="I24" s="20">
        <v>520400</v>
      </c>
      <c r="J24" s="131">
        <v>100000</v>
      </c>
      <c r="K24" s="29">
        <f>SUM(I24-J24-O24-Q24-S24-U24-W24-Y24-AA24-AC24)</f>
        <v>0</v>
      </c>
      <c r="L24" s="23">
        <v>19200</v>
      </c>
      <c r="M24" s="10" t="s">
        <v>78</v>
      </c>
      <c r="N24" s="16">
        <v>43995</v>
      </c>
      <c r="O24" s="131">
        <v>180000</v>
      </c>
      <c r="P24" s="16">
        <v>44001</v>
      </c>
      <c r="Q24" s="131">
        <v>20000</v>
      </c>
      <c r="R24" s="30">
        <v>44057</v>
      </c>
      <c r="S24" s="131">
        <v>100000</v>
      </c>
      <c r="T24" s="37">
        <v>44300</v>
      </c>
      <c r="U24" s="131">
        <v>20000</v>
      </c>
      <c r="V24" s="39">
        <v>44870</v>
      </c>
      <c r="W24" s="95">
        <v>20000</v>
      </c>
      <c r="X24" s="39">
        <v>44932</v>
      </c>
      <c r="Y24" s="95">
        <v>25000</v>
      </c>
      <c r="Z24" s="39">
        <v>45009</v>
      </c>
      <c r="AA24" s="132">
        <v>15000</v>
      </c>
      <c r="AB24" s="37">
        <v>45057</v>
      </c>
      <c r="AC24" s="95">
        <v>40400</v>
      </c>
      <c r="AD24" s="133" t="s">
        <v>17</v>
      </c>
      <c r="AE24" s="134">
        <v>2500</v>
      </c>
      <c r="AF24" s="75" t="s">
        <v>79</v>
      </c>
      <c r="AG24" s="135">
        <v>300</v>
      </c>
      <c r="AH24" s="11"/>
      <c r="AI24" s="14"/>
      <c r="AJ24" s="11"/>
      <c r="AK24" s="14"/>
      <c r="AL24" s="11"/>
      <c r="AM24" s="14"/>
      <c r="AN24" s="11"/>
      <c r="AO24" s="14"/>
      <c r="AP24" s="11"/>
      <c r="AQ24" s="14"/>
      <c r="AR24" s="11"/>
      <c r="AS24" s="14"/>
      <c r="AT24" s="11"/>
      <c r="AU24" s="3"/>
      <c r="AV24" s="11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1:67" ht="15">
      <c r="A25" s="16"/>
      <c r="B25" s="26" t="s">
        <v>80</v>
      </c>
      <c r="C25" s="3">
        <v>3</v>
      </c>
      <c r="D25" s="9">
        <v>150</v>
      </c>
      <c r="E25" s="136" t="s">
        <v>52</v>
      </c>
      <c r="F25" s="19">
        <v>1</v>
      </c>
      <c r="G25" s="19">
        <v>16</v>
      </c>
      <c r="H25" s="9">
        <v>9356251904</v>
      </c>
      <c r="I25" s="20">
        <v>255000</v>
      </c>
      <c r="J25" s="36">
        <v>176000</v>
      </c>
      <c r="K25" s="29">
        <f>I25-J25-O25-Q25</f>
        <v>0</v>
      </c>
      <c r="L25" s="23"/>
      <c r="M25" s="137">
        <v>45139</v>
      </c>
      <c r="N25" s="16">
        <v>44974</v>
      </c>
      <c r="O25" s="138">
        <v>10000</v>
      </c>
      <c r="P25" s="16">
        <v>45140</v>
      </c>
      <c r="Q25" s="139">
        <v>69000</v>
      </c>
      <c r="R25" s="140" t="s">
        <v>17</v>
      </c>
      <c r="S25" s="25">
        <v>2250</v>
      </c>
      <c r="T25" s="37"/>
      <c r="U25" s="36"/>
      <c r="V25" s="39"/>
      <c r="W25" s="38"/>
      <c r="X25" s="39"/>
      <c r="Y25" s="38"/>
      <c r="Z25" s="3"/>
      <c r="AA25" s="13"/>
      <c r="AB25" s="11"/>
      <c r="AC25" s="13"/>
      <c r="AD25" s="11"/>
      <c r="AE25" s="14"/>
      <c r="AF25" s="3"/>
      <c r="AG25" s="14"/>
      <c r="AH25" s="11"/>
      <c r="AI25" s="14"/>
      <c r="AJ25" s="11"/>
      <c r="AK25" s="14"/>
      <c r="AL25" s="11"/>
      <c r="AM25" s="14"/>
      <c r="AN25" s="11"/>
      <c r="AO25" s="14"/>
      <c r="AP25" s="11"/>
      <c r="AQ25" s="14"/>
      <c r="AR25" s="11"/>
      <c r="AS25" s="14"/>
      <c r="AT25" s="11"/>
      <c r="AU25" s="3"/>
      <c r="AV25" s="11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1:67" ht="15">
      <c r="A26" s="39">
        <v>44275</v>
      </c>
      <c r="B26" s="17" t="s">
        <v>81</v>
      </c>
      <c r="C26" s="3">
        <v>10</v>
      </c>
      <c r="D26" s="3">
        <v>150</v>
      </c>
      <c r="E26" s="141" t="s">
        <v>82</v>
      </c>
      <c r="F26" s="19">
        <v>2</v>
      </c>
      <c r="G26" s="19">
        <v>16</v>
      </c>
      <c r="I26" s="52">
        <v>224400</v>
      </c>
      <c r="J26" s="142">
        <v>30000</v>
      </c>
      <c r="K26" s="54">
        <f>SUM(I26-J26-O26-Q26-S26-U26-W26-Y26-AA26)</f>
        <v>0</v>
      </c>
      <c r="L26" s="55">
        <v>8100</v>
      </c>
      <c r="M26" s="3" t="s">
        <v>30</v>
      </c>
      <c r="N26" s="56">
        <v>44301</v>
      </c>
      <c r="O26" s="142">
        <v>30000</v>
      </c>
      <c r="P26" s="56">
        <v>44400</v>
      </c>
      <c r="Q26" s="142">
        <v>15000</v>
      </c>
      <c r="R26" s="56">
        <v>44460</v>
      </c>
      <c r="S26" s="142">
        <v>10000</v>
      </c>
      <c r="T26" s="56">
        <v>44517</v>
      </c>
      <c r="U26" s="143">
        <v>20000</v>
      </c>
      <c r="V26" s="56">
        <v>44573</v>
      </c>
      <c r="W26" s="144">
        <v>25000</v>
      </c>
      <c r="X26" s="56">
        <v>44645</v>
      </c>
      <c r="Y26" s="144">
        <v>20000</v>
      </c>
      <c r="Z26" s="56">
        <v>44765</v>
      </c>
      <c r="AA26" s="144">
        <v>74400</v>
      </c>
    </row>
    <row r="27" spans="1:67">
      <c r="A27" s="145" t="s">
        <v>83</v>
      </c>
      <c r="B27" s="146" t="s">
        <v>84</v>
      </c>
      <c r="C27" s="3">
        <v>10</v>
      </c>
      <c r="D27" s="3" t="s">
        <v>85</v>
      </c>
      <c r="E27" s="147" t="s">
        <v>20</v>
      </c>
      <c r="F27" s="3">
        <v>1</v>
      </c>
      <c r="G27" s="3">
        <v>12</v>
      </c>
      <c r="H27" s="3">
        <v>9360956510</v>
      </c>
      <c r="I27" s="52">
        <v>120000</v>
      </c>
      <c r="J27" s="148">
        <v>40000</v>
      </c>
      <c r="K27" s="54">
        <f>SUM(I27-J27-O27-Q27-S27)</f>
        <v>-1200</v>
      </c>
      <c r="L27" s="55" t="s">
        <v>15</v>
      </c>
      <c r="M27" s="3" t="s">
        <v>16</v>
      </c>
      <c r="N27" s="56">
        <v>44225</v>
      </c>
      <c r="O27" s="149">
        <v>75000</v>
      </c>
      <c r="P27" s="56">
        <v>44303</v>
      </c>
      <c r="Q27" s="150">
        <v>5000</v>
      </c>
      <c r="R27" s="522" t="s">
        <v>17</v>
      </c>
      <c r="S27" s="751">
        <v>1200</v>
      </c>
      <c r="T27" s="3"/>
      <c r="W27" s="152"/>
      <c r="Y27" s="152"/>
      <c r="AA27" s="15"/>
      <c r="AC27" s="15"/>
    </row>
    <row r="28" spans="1:67">
      <c r="A28" s="145">
        <v>44393</v>
      </c>
      <c r="B28" s="15" t="s">
        <v>84</v>
      </c>
      <c r="C28" s="3">
        <v>10</v>
      </c>
      <c r="D28" s="3" t="s">
        <v>85</v>
      </c>
      <c r="E28" s="147" t="s">
        <v>20</v>
      </c>
      <c r="F28" s="3">
        <v>1</v>
      </c>
      <c r="G28" s="3">
        <v>12</v>
      </c>
      <c r="H28" s="3">
        <v>9360956570</v>
      </c>
      <c r="I28" s="52">
        <v>129720</v>
      </c>
      <c r="J28" s="148">
        <v>60000</v>
      </c>
      <c r="K28" s="54">
        <f>I28-J28-O28-Q28-S28-U28</f>
        <v>7720</v>
      </c>
      <c r="L28" s="55" t="s">
        <v>86</v>
      </c>
      <c r="M28" s="3" t="s">
        <v>66</v>
      </c>
      <c r="N28" s="56">
        <v>44567</v>
      </c>
      <c r="O28" s="150">
        <v>30000</v>
      </c>
      <c r="P28" s="56">
        <v>44628</v>
      </c>
      <c r="Q28" s="150">
        <v>10000</v>
      </c>
      <c r="R28" s="56">
        <v>44686</v>
      </c>
      <c r="S28" s="150">
        <v>10000</v>
      </c>
      <c r="T28" s="39">
        <v>44774</v>
      </c>
      <c r="U28" s="150">
        <v>12000</v>
      </c>
      <c r="W28" s="152"/>
      <c r="Y28" s="152"/>
      <c r="AA28" s="15"/>
      <c r="AC28" s="15"/>
    </row>
    <row r="29" spans="1:67">
      <c r="A29" s="145" t="s">
        <v>70</v>
      </c>
      <c r="B29" s="146" t="s">
        <v>87</v>
      </c>
      <c r="C29" s="3">
        <v>10</v>
      </c>
      <c r="D29" s="3">
        <v>600</v>
      </c>
      <c r="E29" s="147" t="s">
        <v>20</v>
      </c>
      <c r="F29" s="3">
        <v>2</v>
      </c>
      <c r="G29" s="3">
        <v>1</v>
      </c>
      <c r="H29" s="3">
        <v>9162870401</v>
      </c>
      <c r="I29" s="52">
        <v>580000</v>
      </c>
      <c r="J29" s="148">
        <v>580000</v>
      </c>
      <c r="K29" s="54">
        <v>0</v>
      </c>
      <c r="L29" s="55" t="s">
        <v>15</v>
      </c>
      <c r="M29" s="3" t="s">
        <v>15</v>
      </c>
      <c r="N29" s="153" t="s">
        <v>17</v>
      </c>
      <c r="O29" s="154">
        <v>1000</v>
      </c>
      <c r="Q29" s="151"/>
      <c r="S29" s="151"/>
      <c r="T29" s="3"/>
      <c r="W29" s="152"/>
      <c r="Y29" s="152"/>
      <c r="AA29" s="15"/>
      <c r="AC29" s="15"/>
    </row>
    <row r="30" spans="1:67" ht="15">
      <c r="A30" s="39">
        <v>43990</v>
      </c>
      <c r="B30" s="17" t="s">
        <v>88</v>
      </c>
      <c r="C30" s="3">
        <v>10</v>
      </c>
      <c r="D30" s="3">
        <v>200</v>
      </c>
      <c r="E30" s="106" t="s">
        <v>62</v>
      </c>
      <c r="F30" s="19">
        <v>2</v>
      </c>
      <c r="G30" s="19">
        <v>9</v>
      </c>
      <c r="I30" s="52">
        <v>280400</v>
      </c>
      <c r="J30" s="109">
        <v>10000</v>
      </c>
      <c r="K30" s="54">
        <f>SUM(I30-J30-O30-Q30-S30-U30-W30-Y30-AA30-AC30-AE30-AG30-AI30-AK30-AM30-AO30-AQ30-AS30)</f>
        <v>0</v>
      </c>
      <c r="L30" s="55">
        <v>9600</v>
      </c>
      <c r="M30" s="3" t="s">
        <v>30</v>
      </c>
      <c r="N30" s="56">
        <v>44020</v>
      </c>
      <c r="O30" s="109">
        <v>40000</v>
      </c>
      <c r="P30" s="56">
        <v>44053</v>
      </c>
      <c r="Q30" s="109">
        <v>9600</v>
      </c>
      <c r="R30" s="56">
        <v>44081</v>
      </c>
      <c r="S30" s="109">
        <v>9600</v>
      </c>
      <c r="T30" s="56">
        <v>44110</v>
      </c>
      <c r="U30" s="155">
        <v>19200</v>
      </c>
      <c r="V30" s="56">
        <v>44193</v>
      </c>
      <c r="W30" s="156">
        <v>19200</v>
      </c>
      <c r="X30" s="56">
        <v>44258</v>
      </c>
      <c r="Y30" s="156">
        <v>15000</v>
      </c>
      <c r="Z30" s="56">
        <v>44320</v>
      </c>
      <c r="AA30" s="156">
        <v>14385</v>
      </c>
      <c r="AB30" s="56">
        <v>44384</v>
      </c>
      <c r="AC30" s="156">
        <v>19200</v>
      </c>
      <c r="AD30" s="56">
        <v>44439</v>
      </c>
      <c r="AE30" s="109">
        <v>9600</v>
      </c>
      <c r="AF30" s="56">
        <v>44509</v>
      </c>
      <c r="AG30" s="157">
        <v>9600</v>
      </c>
      <c r="AH30" s="80">
        <v>44571</v>
      </c>
      <c r="AI30" s="157">
        <v>19200</v>
      </c>
      <c r="AJ30" s="80">
        <v>44617</v>
      </c>
      <c r="AK30" s="157">
        <v>19200</v>
      </c>
      <c r="AL30" s="80">
        <v>44693</v>
      </c>
      <c r="AM30" s="157">
        <v>38400</v>
      </c>
      <c r="AN30" s="80">
        <v>44704</v>
      </c>
      <c r="AO30" s="157">
        <v>9600</v>
      </c>
      <c r="AP30" s="80">
        <v>44732</v>
      </c>
      <c r="AQ30" s="157">
        <v>9600</v>
      </c>
      <c r="AR30" s="80">
        <v>44771</v>
      </c>
      <c r="AS30" s="157">
        <v>9015</v>
      </c>
      <c r="AT30" s="158" t="s">
        <v>17</v>
      </c>
      <c r="AU30" s="159">
        <v>2800</v>
      </c>
    </row>
    <row r="31" spans="1:67">
      <c r="I31" s="160">
        <f>SUM(I2:I30)</f>
        <v>9794748</v>
      </c>
      <c r="J31" s="161">
        <f>SUM(J2:J30)</f>
        <v>2499160</v>
      </c>
      <c r="K31" s="162">
        <f>SUM(K2:K30)</f>
        <v>1812290</v>
      </c>
    </row>
    <row r="33" spans="1:67">
      <c r="B33" s="163" t="s">
        <v>89</v>
      </c>
    </row>
    <row r="34" spans="1:67">
      <c r="A34" s="16">
        <v>43985</v>
      </c>
      <c r="B34" s="26" t="s">
        <v>90</v>
      </c>
      <c r="C34" s="3">
        <v>10</v>
      </c>
      <c r="D34" s="9">
        <v>200</v>
      </c>
      <c r="E34" s="27" t="s">
        <v>20</v>
      </c>
      <c r="F34" s="9">
        <v>2</v>
      </c>
      <c r="G34" s="9">
        <v>7</v>
      </c>
      <c r="H34" s="9">
        <v>9971770436</v>
      </c>
      <c r="I34" s="20">
        <v>240000</v>
      </c>
      <c r="J34" s="28">
        <v>10000</v>
      </c>
      <c r="K34" s="29">
        <v>210000</v>
      </c>
      <c r="L34" s="23"/>
      <c r="M34" s="165" t="s">
        <v>91</v>
      </c>
      <c r="N34" s="166">
        <v>44043</v>
      </c>
      <c r="O34" s="33">
        <v>5000</v>
      </c>
      <c r="P34" s="9"/>
      <c r="Q34" s="8"/>
      <c r="R34" s="10"/>
      <c r="S34" s="8"/>
      <c r="T34" s="11"/>
      <c r="U34" s="12"/>
      <c r="V34" s="3"/>
      <c r="W34" s="13"/>
      <c r="X34" s="3"/>
      <c r="Y34" s="13"/>
      <c r="Z34" s="3"/>
      <c r="AA34" s="13"/>
      <c r="AB34" s="11"/>
      <c r="AC34" s="13"/>
      <c r="AD34" s="11"/>
      <c r="AE34" s="14"/>
      <c r="AF34" s="3"/>
      <c r="AG34" s="14"/>
      <c r="AH34" s="11"/>
      <c r="AI34" s="14"/>
      <c r="AJ34" s="11"/>
      <c r="AK34" s="14"/>
      <c r="AL34" s="11"/>
      <c r="AM34" s="14"/>
      <c r="AN34" s="11"/>
      <c r="AO34" s="14"/>
      <c r="AP34" s="11"/>
      <c r="AQ34" s="14"/>
      <c r="AR34" s="11"/>
      <c r="AS34" s="14"/>
      <c r="AT34" s="11"/>
      <c r="AU34" s="3"/>
      <c r="AV34" s="1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ht="15">
      <c r="A35" s="16" t="s">
        <v>22</v>
      </c>
      <c r="B35" s="26" t="s">
        <v>92</v>
      </c>
      <c r="C35" s="3">
        <v>10</v>
      </c>
      <c r="D35" s="9">
        <v>150</v>
      </c>
      <c r="E35" s="18" t="s">
        <v>14</v>
      </c>
      <c r="F35" s="19">
        <v>2</v>
      </c>
      <c r="G35" s="19">
        <v>16</v>
      </c>
      <c r="H35" s="9">
        <v>9757508504</v>
      </c>
      <c r="I35" s="20">
        <v>210300</v>
      </c>
      <c r="J35" s="21">
        <v>12500</v>
      </c>
      <c r="K35" s="29">
        <f>SUM(I35-J35-O35-Q35-S35-U35)</f>
        <v>154800</v>
      </c>
      <c r="L35" s="23">
        <v>7200</v>
      </c>
      <c r="M35" s="10" t="s">
        <v>30</v>
      </c>
      <c r="N35" s="16">
        <v>43987</v>
      </c>
      <c r="O35" s="21">
        <v>15000</v>
      </c>
      <c r="P35" s="16">
        <v>44013</v>
      </c>
      <c r="Q35" s="21">
        <v>10000</v>
      </c>
      <c r="R35" s="30">
        <v>44051</v>
      </c>
      <c r="S35" s="21">
        <v>10000</v>
      </c>
      <c r="T35" s="37">
        <v>44124</v>
      </c>
      <c r="U35" s="53">
        <v>8000</v>
      </c>
      <c r="V35" s="901" t="s">
        <v>93</v>
      </c>
      <c r="W35" s="901"/>
      <c r="X35" s="901"/>
      <c r="Y35" s="13"/>
      <c r="Z35" s="3"/>
      <c r="AA35" s="13"/>
      <c r="AB35" s="11"/>
      <c r="AC35" s="13"/>
      <c r="AD35" s="11"/>
      <c r="AE35" s="14"/>
      <c r="AF35" s="3"/>
      <c r="AG35" s="14"/>
      <c r="AH35" s="11"/>
      <c r="AI35" s="14"/>
      <c r="AJ35" s="11"/>
      <c r="AK35" s="14"/>
      <c r="AL35" s="11"/>
      <c r="AM35" s="14"/>
      <c r="AN35" s="11"/>
      <c r="AO35" s="14"/>
      <c r="AP35" s="11"/>
      <c r="AQ35" s="14"/>
      <c r="AR35" s="11"/>
      <c r="AS35" s="14"/>
      <c r="AT35" s="11"/>
      <c r="AU35" s="3"/>
      <c r="AV35" s="1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1:67" ht="15">
      <c r="A36" s="167">
        <v>44245</v>
      </c>
      <c r="B36" s="26" t="s">
        <v>94</v>
      </c>
      <c r="C36" s="3">
        <v>10</v>
      </c>
      <c r="D36" s="3" t="s">
        <v>85</v>
      </c>
      <c r="E36" s="168" t="s">
        <v>95</v>
      </c>
      <c r="F36" s="19">
        <v>2</v>
      </c>
      <c r="G36" s="19">
        <v>5</v>
      </c>
      <c r="H36" s="3">
        <v>9360913866</v>
      </c>
      <c r="I36" s="52">
        <v>149600</v>
      </c>
      <c r="J36" s="169">
        <v>10000</v>
      </c>
      <c r="K36" s="54">
        <f>SUM(I36-J36)</f>
        <v>139600</v>
      </c>
      <c r="L36" s="55">
        <v>5400</v>
      </c>
      <c r="M36" s="3" t="s">
        <v>53</v>
      </c>
      <c r="N36" s="170" t="s">
        <v>96</v>
      </c>
      <c r="O36" s="170"/>
      <c r="P36" s="170"/>
      <c r="Q36" s="171"/>
      <c r="R36" s="56"/>
      <c r="S36" s="72"/>
      <c r="T36" s="56"/>
      <c r="U36" s="72"/>
      <c r="V36" s="56"/>
      <c r="W36" s="38"/>
      <c r="X36" s="56"/>
      <c r="Y36" s="38"/>
      <c r="Z36" s="56"/>
      <c r="AA36" s="38"/>
    </row>
    <row r="37" spans="1:67" ht="15">
      <c r="A37" s="172">
        <v>43992</v>
      </c>
      <c r="B37" s="26" t="s">
        <v>97</v>
      </c>
      <c r="C37" s="3">
        <v>10</v>
      </c>
      <c r="D37" s="9">
        <v>200</v>
      </c>
      <c r="E37" s="93" t="s">
        <v>98</v>
      </c>
      <c r="F37" s="19">
        <v>2</v>
      </c>
      <c r="G37" s="19">
        <v>10</v>
      </c>
      <c r="H37" s="9"/>
      <c r="I37" s="20">
        <v>280400</v>
      </c>
      <c r="J37" s="131">
        <v>5000</v>
      </c>
      <c r="K37" s="29">
        <f>SUM(I37-J37)</f>
        <v>275400</v>
      </c>
      <c r="L37" s="23">
        <v>9600</v>
      </c>
      <c r="M37" s="10" t="s">
        <v>30</v>
      </c>
      <c r="N37" s="902" t="s">
        <v>99</v>
      </c>
      <c r="O37" s="902"/>
      <c r="P37" s="902"/>
      <c r="Q37" s="8"/>
      <c r="R37" s="10"/>
      <c r="S37" s="8"/>
      <c r="T37" s="11"/>
      <c r="U37" s="12"/>
      <c r="V37" s="3"/>
      <c r="W37" s="13"/>
      <c r="X37" s="3"/>
      <c r="Y37" s="13"/>
      <c r="Z37" s="3"/>
      <c r="AA37" s="13"/>
      <c r="AB37" s="11"/>
      <c r="AC37" s="13"/>
      <c r="AD37" s="11"/>
      <c r="AE37" s="14"/>
      <c r="AF37" s="3"/>
      <c r="AG37" s="14"/>
      <c r="AH37" s="11"/>
      <c r="AI37" s="14"/>
      <c r="AJ37" s="11"/>
      <c r="AK37" s="14"/>
      <c r="AL37" s="11"/>
      <c r="AM37" s="14"/>
      <c r="AN37" s="11"/>
      <c r="AO37" s="14"/>
      <c r="AP37" s="11"/>
      <c r="AQ37" s="14"/>
      <c r="AR37" s="11"/>
      <c r="AS37" s="14"/>
      <c r="AT37" s="11"/>
      <c r="AU37" s="3"/>
      <c r="AV37" s="11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9" spans="1:67" ht="15">
      <c r="A39" s="39"/>
      <c r="B39" s="26"/>
      <c r="E39" s="9"/>
      <c r="F39" s="19"/>
      <c r="G39" s="19"/>
      <c r="I39" s="52"/>
      <c r="J39" s="72"/>
      <c r="K39" s="54"/>
      <c r="L39" s="55"/>
      <c r="N39" s="56"/>
      <c r="O39" s="72"/>
      <c r="P39" s="56"/>
      <c r="Q39" s="72"/>
      <c r="R39" s="56"/>
      <c r="S39" s="72"/>
      <c r="T39" s="56"/>
      <c r="U39" s="72"/>
      <c r="V39" s="56"/>
      <c r="W39" s="38"/>
      <c r="X39" s="56"/>
      <c r="Y39" s="38"/>
      <c r="Z39" s="56"/>
      <c r="AA39" s="38"/>
    </row>
    <row r="40" spans="1:67">
      <c r="B40" s="163" t="s">
        <v>100</v>
      </c>
      <c r="P40" s="15" t="s">
        <v>101</v>
      </c>
    </row>
    <row r="41" spans="1:67" ht="14.25" customHeight="1">
      <c r="A41" s="16">
        <v>43985</v>
      </c>
      <c r="B41" s="26" t="s">
        <v>102</v>
      </c>
      <c r="C41" s="3">
        <v>10</v>
      </c>
      <c r="D41" s="9">
        <v>200</v>
      </c>
      <c r="E41" s="27" t="s">
        <v>20</v>
      </c>
      <c r="F41" s="19">
        <v>1</v>
      </c>
      <c r="G41" s="19">
        <v>12</v>
      </c>
      <c r="H41" s="9">
        <v>9973211444</v>
      </c>
      <c r="I41" s="20">
        <v>420600</v>
      </c>
      <c r="J41" s="28">
        <v>8000</v>
      </c>
      <c r="K41" s="29">
        <f>SUM(I41-J41-O41)</f>
        <v>412600</v>
      </c>
      <c r="L41" s="23">
        <v>14400</v>
      </c>
      <c r="M41" s="10" t="s">
        <v>30</v>
      </c>
      <c r="N41" s="9"/>
      <c r="O41" s="8"/>
      <c r="P41" s="9" t="s">
        <v>103</v>
      </c>
      <c r="Q41" s="903" t="s">
        <v>104</v>
      </c>
      <c r="R41" s="903"/>
      <c r="S41" s="903"/>
      <c r="T41" s="13"/>
      <c r="U41" s="12"/>
      <c r="V41" s="13"/>
      <c r="W41" s="3"/>
      <c r="X41" s="13"/>
      <c r="Y41" s="3"/>
      <c r="Z41" s="13"/>
      <c r="AA41" s="11"/>
      <c r="AB41" s="13"/>
      <c r="AC41" s="11"/>
      <c r="AD41" s="88"/>
      <c r="AE41" s="14"/>
      <c r="AF41" s="88"/>
      <c r="AG41" s="14"/>
      <c r="AH41" s="11"/>
      <c r="AI41" s="14"/>
      <c r="AJ41" s="11"/>
      <c r="AK41" s="14"/>
      <c r="AL41" s="11"/>
      <c r="AM41" s="14"/>
      <c r="AN41" s="11"/>
      <c r="AO41" s="14"/>
      <c r="AP41" s="11"/>
      <c r="AQ41" s="14"/>
      <c r="AR41" s="11"/>
      <c r="AS41" s="14"/>
      <c r="AT41" s="11"/>
      <c r="AU41" s="3"/>
      <c r="AV41" s="1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7" ht="15">
      <c r="A42" s="16">
        <v>43957</v>
      </c>
      <c r="B42" s="26" t="s">
        <v>105</v>
      </c>
      <c r="C42" s="3">
        <v>10</v>
      </c>
      <c r="D42" s="9">
        <v>600</v>
      </c>
      <c r="E42" s="93" t="s">
        <v>55</v>
      </c>
      <c r="F42" s="19">
        <v>2</v>
      </c>
      <c r="G42" s="19">
        <v>1</v>
      </c>
      <c r="H42" s="9">
        <v>9070129874</v>
      </c>
      <c r="I42" s="20">
        <v>1020000</v>
      </c>
      <c r="J42" s="131">
        <v>44000</v>
      </c>
      <c r="K42" s="29">
        <f>SUM(I42-J42-O42)</f>
        <v>953000</v>
      </c>
      <c r="L42" s="23">
        <v>37500</v>
      </c>
      <c r="M42" s="10" t="s">
        <v>30</v>
      </c>
      <c r="N42" s="16">
        <v>44062</v>
      </c>
      <c r="O42" s="131">
        <v>23000</v>
      </c>
      <c r="P42" s="9" t="s">
        <v>103</v>
      </c>
      <c r="Q42" s="903" t="s">
        <v>106</v>
      </c>
      <c r="R42" s="903"/>
      <c r="S42" s="903"/>
      <c r="T42" s="11"/>
      <c r="U42" s="12"/>
      <c r="V42" s="3"/>
      <c r="W42" s="13"/>
      <c r="X42" s="3"/>
      <c r="Y42" s="13"/>
      <c r="Z42" s="3"/>
      <c r="AA42" s="13"/>
      <c r="AB42" s="11"/>
      <c r="AC42" s="13"/>
      <c r="AD42" s="11"/>
      <c r="AE42" s="14"/>
      <c r="AF42" s="3"/>
      <c r="AG42" s="14"/>
      <c r="AH42" s="11"/>
      <c r="AI42" s="14"/>
      <c r="AJ42" s="11"/>
      <c r="AK42" s="14"/>
      <c r="AL42" s="11"/>
      <c r="AM42" s="14"/>
      <c r="AN42" s="11"/>
      <c r="AO42" s="14"/>
      <c r="AP42" s="11"/>
      <c r="AQ42" s="14"/>
      <c r="AR42" s="11"/>
      <c r="AS42" s="14"/>
      <c r="AT42" s="11"/>
      <c r="AU42" s="3"/>
      <c r="AV42" s="1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1:67" ht="15">
      <c r="A43" s="16" t="s">
        <v>107</v>
      </c>
      <c r="B43" s="26" t="s">
        <v>108</v>
      </c>
      <c r="C43" s="3">
        <v>7</v>
      </c>
      <c r="D43" s="9">
        <v>200</v>
      </c>
      <c r="E43" s="173" t="s">
        <v>109</v>
      </c>
      <c r="F43" s="19">
        <v>1</v>
      </c>
      <c r="G43" s="19" t="s">
        <v>77</v>
      </c>
      <c r="H43" s="9">
        <v>9194587164</v>
      </c>
      <c r="I43" s="20">
        <v>656000</v>
      </c>
      <c r="J43" s="36">
        <v>5000</v>
      </c>
      <c r="K43" s="29">
        <f>I43-J43-O43-Q43</f>
        <v>646000</v>
      </c>
      <c r="L43" s="23">
        <v>16000</v>
      </c>
      <c r="M43" s="10" t="s">
        <v>59</v>
      </c>
      <c r="N43" s="16">
        <v>44770</v>
      </c>
      <c r="O43" s="36">
        <v>5000</v>
      </c>
      <c r="P43" s="904" t="s">
        <v>110</v>
      </c>
      <c r="Q43" s="904"/>
      <c r="R43" s="904"/>
      <c r="S43" s="36"/>
      <c r="T43" s="37"/>
      <c r="U43" s="36"/>
      <c r="V43" s="39"/>
      <c r="W43" s="38"/>
      <c r="X43" s="3"/>
      <c r="Y43" s="13"/>
      <c r="Z43" s="3"/>
      <c r="AA43" s="13"/>
      <c r="AB43" s="11"/>
      <c r="AC43" s="13"/>
      <c r="AD43" s="11"/>
      <c r="AE43" s="14"/>
      <c r="AF43" s="3"/>
      <c r="AG43" s="14"/>
      <c r="AH43" s="11"/>
      <c r="AI43" s="14"/>
      <c r="AJ43" s="11"/>
      <c r="AK43" s="14"/>
      <c r="AL43" s="11"/>
      <c r="AM43" s="14"/>
      <c r="AN43" s="11"/>
      <c r="AO43" s="14"/>
      <c r="AP43" s="11"/>
      <c r="AQ43" s="14"/>
      <c r="AR43" s="11"/>
      <c r="AS43" s="14"/>
      <c r="AT43" s="11"/>
      <c r="AU43" s="3"/>
      <c r="AV43" s="1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1:67" ht="15">
      <c r="A44" s="39">
        <v>43977</v>
      </c>
      <c r="B44" s="26" t="s">
        <v>111</v>
      </c>
      <c r="C44" s="31" t="s">
        <v>24</v>
      </c>
      <c r="D44" s="3">
        <v>200</v>
      </c>
      <c r="E44" s="32" t="s">
        <v>33</v>
      </c>
      <c r="F44" s="19">
        <v>2</v>
      </c>
      <c r="G44" s="19">
        <v>8</v>
      </c>
      <c r="H44" s="3">
        <v>9356251904</v>
      </c>
      <c r="I44" s="52">
        <v>280400</v>
      </c>
      <c r="J44" s="171">
        <v>38000</v>
      </c>
      <c r="K44" s="54">
        <f>SUM(I44-J44-O44-Q44-S44-U44-W44-Y44-AA44-AC44-AE44-AG44-AI44-AK44-AM44-AO44-AQ44)</f>
        <v>104400</v>
      </c>
      <c r="L44" s="55">
        <v>9600</v>
      </c>
      <c r="M44" s="3" t="s">
        <v>30</v>
      </c>
      <c r="N44" s="56">
        <v>43979</v>
      </c>
      <c r="O44" s="72">
        <v>12000</v>
      </c>
      <c r="P44" s="56">
        <v>44023</v>
      </c>
      <c r="Q44" s="72">
        <v>9600</v>
      </c>
      <c r="R44" s="56">
        <v>44074</v>
      </c>
      <c r="S44" s="72">
        <v>9600</v>
      </c>
      <c r="T44" s="56">
        <v>44133</v>
      </c>
      <c r="U44" s="174">
        <v>9600</v>
      </c>
      <c r="V44" s="56">
        <v>44155</v>
      </c>
      <c r="W44" s="175">
        <v>9600</v>
      </c>
      <c r="X44" s="56">
        <v>44194</v>
      </c>
      <c r="Y44" s="175">
        <v>9600</v>
      </c>
      <c r="Z44" s="56">
        <v>44251</v>
      </c>
      <c r="AA44" s="175">
        <v>9600</v>
      </c>
      <c r="AB44" s="56">
        <v>44279</v>
      </c>
      <c r="AC44" s="175">
        <v>19200</v>
      </c>
      <c r="AD44" s="56">
        <v>44340</v>
      </c>
      <c r="AE44" s="176">
        <v>9600</v>
      </c>
      <c r="AF44" s="56">
        <v>44385</v>
      </c>
      <c r="AG44" s="176">
        <v>20000</v>
      </c>
      <c r="AH44" s="80">
        <v>44435</v>
      </c>
      <c r="AI44" s="176">
        <v>10000</v>
      </c>
      <c r="AJ44" s="80">
        <v>44466</v>
      </c>
      <c r="AK44" s="176">
        <v>9600</v>
      </c>
      <c r="AL44" s="177" t="s">
        <v>112</v>
      </c>
      <c r="AM44" s="178"/>
    </row>
    <row r="45" spans="1:67" ht="15">
      <c r="A45" s="16">
        <v>44044</v>
      </c>
      <c r="B45" s="26" t="s">
        <v>113</v>
      </c>
      <c r="C45" s="3">
        <v>10</v>
      </c>
      <c r="D45" s="9">
        <v>200</v>
      </c>
      <c r="E45" s="18" t="s">
        <v>14</v>
      </c>
      <c r="F45" s="19">
        <v>2</v>
      </c>
      <c r="G45" s="19">
        <v>7</v>
      </c>
      <c r="H45" s="9">
        <v>9498323752</v>
      </c>
      <c r="I45" s="20">
        <v>280400</v>
      </c>
      <c r="J45" s="21">
        <v>25000</v>
      </c>
      <c r="K45" s="29">
        <f>SUM(I45-J45-O45-S45-U45-W45)</f>
        <v>192000</v>
      </c>
      <c r="L45" s="23">
        <v>9600</v>
      </c>
      <c r="M45" s="10" t="s">
        <v>30</v>
      </c>
      <c r="N45" s="16">
        <v>44066</v>
      </c>
      <c r="O45" s="21">
        <v>25000</v>
      </c>
      <c r="P45" s="179" t="s">
        <v>63</v>
      </c>
      <c r="Q45" s="25">
        <v>500</v>
      </c>
      <c r="R45" s="30">
        <v>44095</v>
      </c>
      <c r="S45" s="21">
        <v>9600</v>
      </c>
      <c r="T45" s="37">
        <v>44128</v>
      </c>
      <c r="U45" s="21">
        <v>9600</v>
      </c>
      <c r="V45" s="39">
        <v>44207</v>
      </c>
      <c r="W45" s="78">
        <v>19200</v>
      </c>
      <c r="X45" s="905" t="s">
        <v>114</v>
      </c>
      <c r="Y45" s="905"/>
      <c r="Z45" s="905"/>
      <c r="AA45" s="905"/>
      <c r="AB45" s="11"/>
      <c r="AC45" s="13"/>
      <c r="AD45" s="11"/>
      <c r="AE45" s="14"/>
      <c r="AF45" s="3"/>
      <c r="AG45" s="14"/>
      <c r="AH45" s="11"/>
      <c r="AI45" s="14"/>
      <c r="AJ45" s="11"/>
      <c r="AK45" s="14"/>
      <c r="AL45" s="11"/>
      <c r="AM45" s="14"/>
      <c r="AN45" s="11"/>
      <c r="AO45" s="14"/>
      <c r="AP45" s="11"/>
      <c r="AQ45" s="14"/>
      <c r="AR45" s="11"/>
      <c r="AS45" s="14"/>
      <c r="AT45" s="11"/>
      <c r="AU45" s="3"/>
      <c r="AV45" s="1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1:67" ht="15">
      <c r="A46" s="39">
        <v>45355</v>
      </c>
      <c r="B46" s="26" t="s">
        <v>115</v>
      </c>
      <c r="C46" s="3">
        <v>7</v>
      </c>
      <c r="D46" s="3">
        <v>200</v>
      </c>
      <c r="E46" s="9" t="s">
        <v>25</v>
      </c>
      <c r="F46" s="19"/>
      <c r="G46" s="19">
        <v>6</v>
      </c>
      <c r="I46" s="52">
        <v>385600</v>
      </c>
      <c r="J46" s="72">
        <v>20000</v>
      </c>
      <c r="K46" s="54">
        <f>I46-J46</f>
        <v>365600</v>
      </c>
      <c r="L46" s="55">
        <v>9600</v>
      </c>
      <c r="M46" s="3" t="s">
        <v>69</v>
      </c>
      <c r="N46" s="905" t="s">
        <v>116</v>
      </c>
      <c r="O46" s="905"/>
      <c r="P46" s="905"/>
      <c r="Q46" s="72"/>
      <c r="R46" s="56"/>
      <c r="S46" s="72"/>
      <c r="T46" s="56"/>
      <c r="U46" s="72"/>
      <c r="V46" s="56"/>
      <c r="W46" s="38"/>
      <c r="X46" s="56"/>
      <c r="Y46" s="38"/>
      <c r="Z46" s="56"/>
      <c r="AA46" s="38"/>
    </row>
    <row r="48" spans="1:67">
      <c r="A48" s="900" t="s">
        <v>117</v>
      </c>
      <c r="B48" s="900"/>
    </row>
    <row r="49" spans="1:67" ht="15">
      <c r="A49" s="39">
        <v>43970</v>
      </c>
      <c r="B49" s="17" t="s">
        <v>118</v>
      </c>
      <c r="C49" s="3">
        <v>10</v>
      </c>
      <c r="D49" s="3">
        <v>200</v>
      </c>
      <c r="E49" s="18" t="s">
        <v>14</v>
      </c>
      <c r="F49" s="19">
        <v>2</v>
      </c>
      <c r="G49" s="19">
        <v>5</v>
      </c>
      <c r="H49" s="3">
        <v>9074049437</v>
      </c>
      <c r="I49" s="52">
        <v>240000</v>
      </c>
      <c r="J49" s="53">
        <v>20000</v>
      </c>
      <c r="K49" s="54">
        <f>SUM(I49-J49-O49)</f>
        <v>0</v>
      </c>
      <c r="L49" s="55" t="s">
        <v>15</v>
      </c>
      <c r="M49" s="3" t="s">
        <v>16</v>
      </c>
      <c r="N49" s="56">
        <v>44009</v>
      </c>
      <c r="O49" s="53">
        <v>220000</v>
      </c>
      <c r="P49" s="906" t="s">
        <v>119</v>
      </c>
      <c r="Q49" s="906"/>
      <c r="R49" s="906"/>
    </row>
    <row r="50" spans="1:67" ht="15">
      <c r="A50" s="180">
        <v>43974</v>
      </c>
      <c r="B50" s="26" t="s">
        <v>120</v>
      </c>
      <c r="C50" s="3">
        <v>10</v>
      </c>
      <c r="D50" s="3">
        <v>200</v>
      </c>
      <c r="E50" s="181" t="s">
        <v>121</v>
      </c>
      <c r="F50" s="19">
        <v>2</v>
      </c>
      <c r="G50" s="19">
        <v>6</v>
      </c>
      <c r="I50" s="52">
        <v>280400</v>
      </c>
      <c r="J50" s="182">
        <v>10000</v>
      </c>
      <c r="K50" s="54">
        <f>SUM(I50-J50-O50)</f>
        <v>270400</v>
      </c>
      <c r="L50" s="55">
        <v>9600</v>
      </c>
      <c r="M50" s="3" t="s">
        <v>30</v>
      </c>
      <c r="N50" s="901" t="s">
        <v>122</v>
      </c>
      <c r="O50" s="901"/>
      <c r="P50" s="901"/>
    </row>
    <row r="51" spans="1:67" ht="15">
      <c r="A51" s="16" t="s">
        <v>27</v>
      </c>
      <c r="B51" s="17" t="s">
        <v>123</v>
      </c>
      <c r="C51" s="3">
        <v>10</v>
      </c>
      <c r="D51" s="9">
        <v>400</v>
      </c>
      <c r="E51" s="93" t="s">
        <v>55</v>
      </c>
      <c r="F51" s="19">
        <v>1</v>
      </c>
      <c r="G51" s="19">
        <v>2</v>
      </c>
      <c r="H51" s="9" t="s">
        <v>124</v>
      </c>
      <c r="I51" s="20">
        <v>480000</v>
      </c>
      <c r="J51" s="131">
        <v>20000</v>
      </c>
      <c r="K51" s="29">
        <f>SUM(I51-J51-O51-Q51-S51-U51-W51)</f>
        <v>0</v>
      </c>
      <c r="L51" s="23">
        <v>19200</v>
      </c>
      <c r="M51" s="10" t="s">
        <v>30</v>
      </c>
      <c r="N51" s="16">
        <v>43969</v>
      </c>
      <c r="O51" s="131">
        <v>80000</v>
      </c>
      <c r="P51" s="16">
        <v>43990</v>
      </c>
      <c r="Q51" s="131">
        <v>100000</v>
      </c>
      <c r="R51" s="30">
        <v>43998</v>
      </c>
      <c r="S51" s="131">
        <v>100000</v>
      </c>
      <c r="T51" s="37">
        <v>44012</v>
      </c>
      <c r="U51" s="94">
        <v>100000</v>
      </c>
      <c r="V51" s="39">
        <v>44019</v>
      </c>
      <c r="W51" s="95">
        <v>80000</v>
      </c>
      <c r="X51" s="75" t="s">
        <v>125</v>
      </c>
      <c r="Y51" s="47">
        <v>2000</v>
      </c>
      <c r="Z51" s="901" t="s">
        <v>126</v>
      </c>
      <c r="AA51" s="901"/>
      <c r="AB51" s="901"/>
      <c r="AC51" s="901"/>
      <c r="AD51" s="11"/>
      <c r="AE51" s="14"/>
      <c r="AF51" s="3"/>
      <c r="AG51" s="14"/>
      <c r="AH51" s="11"/>
      <c r="AI51" s="14"/>
      <c r="AJ51" s="11"/>
      <c r="AK51" s="14"/>
      <c r="AL51" s="11"/>
      <c r="AM51" s="14"/>
      <c r="AN51" s="11"/>
      <c r="AO51" s="14"/>
      <c r="AP51" s="11"/>
      <c r="AQ51" s="14"/>
      <c r="AR51" s="11"/>
      <c r="AS51" s="14"/>
      <c r="AT51" s="11"/>
      <c r="AU51" s="3"/>
      <c r="AV51" s="1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spans="1:67" ht="15">
      <c r="A52" s="16">
        <v>43993</v>
      </c>
      <c r="B52" s="26" t="s">
        <v>700</v>
      </c>
      <c r="C52" s="3">
        <v>10</v>
      </c>
      <c r="D52" s="9">
        <v>210</v>
      </c>
      <c r="E52" s="73" t="s">
        <v>43</v>
      </c>
      <c r="F52" s="19">
        <v>2</v>
      </c>
      <c r="G52" s="19">
        <v>11</v>
      </c>
      <c r="H52" s="9">
        <v>9356461400</v>
      </c>
      <c r="I52" s="20">
        <v>260000</v>
      </c>
      <c r="J52" s="74">
        <v>40000</v>
      </c>
      <c r="K52" s="29">
        <f>SUM(I52-J52-O52)</f>
        <v>0</v>
      </c>
      <c r="L52" s="23">
        <v>9600</v>
      </c>
      <c r="M52" s="10" t="s">
        <v>30</v>
      </c>
      <c r="N52" s="16">
        <v>44394</v>
      </c>
      <c r="O52" s="74">
        <v>220000</v>
      </c>
      <c r="P52" s="75" t="s">
        <v>17</v>
      </c>
      <c r="Q52" s="76">
        <v>1000</v>
      </c>
      <c r="R52" s="901" t="s">
        <v>701</v>
      </c>
      <c r="S52" s="901"/>
      <c r="T52" s="901"/>
      <c r="U52" s="901"/>
      <c r="V52" s="3"/>
      <c r="W52" s="13"/>
      <c r="X52" s="3"/>
      <c r="Y52" s="13"/>
      <c r="Z52" s="3"/>
      <c r="AA52" s="13"/>
      <c r="AB52" s="11"/>
      <c r="AC52" s="13"/>
      <c r="AD52" s="11"/>
      <c r="AE52" s="14"/>
      <c r="AF52" s="3"/>
      <c r="AG52" s="14"/>
      <c r="AH52" s="11"/>
      <c r="AI52" s="14"/>
      <c r="AJ52" s="11"/>
      <c r="AK52" s="14"/>
      <c r="AL52" s="11"/>
      <c r="AM52" s="14"/>
      <c r="AN52" s="11"/>
      <c r="AO52" s="14"/>
      <c r="AP52" s="11"/>
      <c r="AQ52" s="14"/>
      <c r="AR52" s="11"/>
      <c r="AS52" s="14"/>
      <c r="AT52" s="11"/>
      <c r="AU52" s="3"/>
      <c r="AV52" s="1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5" spans="1:67">
      <c r="A55" s="900" t="s">
        <v>127</v>
      </c>
      <c r="B55" s="900"/>
    </row>
    <row r="56" spans="1:67" ht="15">
      <c r="A56" s="183" t="s">
        <v>128</v>
      </c>
      <c r="B56" s="26" t="s">
        <v>129</v>
      </c>
      <c r="C56" s="3">
        <v>10</v>
      </c>
      <c r="D56" s="3" t="s">
        <v>85</v>
      </c>
      <c r="E56" s="184" t="s">
        <v>95</v>
      </c>
      <c r="F56" s="19">
        <v>2</v>
      </c>
      <c r="G56" s="19">
        <v>5</v>
      </c>
      <c r="H56" s="9"/>
      <c r="I56" s="20">
        <v>149600</v>
      </c>
      <c r="J56" s="36">
        <v>5000</v>
      </c>
      <c r="K56" s="29">
        <f>SUM(I56-J56)</f>
        <v>144600</v>
      </c>
      <c r="L56" s="23">
        <v>5400</v>
      </c>
      <c r="M56" s="10" t="s">
        <v>30</v>
      </c>
      <c r="N56" s="16"/>
      <c r="O56" s="36"/>
      <c r="P56" s="16"/>
      <c r="Q56" s="36"/>
      <c r="R56" s="30"/>
      <c r="S56" s="36"/>
      <c r="T56" s="37"/>
      <c r="U56" s="36"/>
      <c r="V56" s="3"/>
      <c r="W56" s="13"/>
      <c r="X56" s="3"/>
      <c r="Y56" s="13"/>
      <c r="Z56" s="3"/>
      <c r="AA56" s="13"/>
      <c r="AB56" s="11"/>
      <c r="AC56" s="13"/>
      <c r="AD56" s="11"/>
      <c r="AE56" s="14"/>
      <c r="AF56" s="3"/>
      <c r="AG56" s="14"/>
      <c r="AH56" s="11"/>
      <c r="AI56" s="14"/>
      <c r="AJ56" s="11"/>
      <c r="AK56" s="14"/>
      <c r="AL56" s="11"/>
      <c r="AM56" s="14"/>
      <c r="AN56" s="11"/>
      <c r="AO56" s="14"/>
      <c r="AP56" s="11"/>
      <c r="AQ56" s="14"/>
      <c r="AR56" s="11"/>
      <c r="AS56" s="14"/>
      <c r="AT56" s="11"/>
      <c r="AU56" s="3"/>
      <c r="AV56" s="1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spans="1:67" ht="15">
      <c r="A57" s="39">
        <v>43983</v>
      </c>
      <c r="B57" s="26" t="s">
        <v>130</v>
      </c>
      <c r="C57" s="3">
        <v>10</v>
      </c>
      <c r="D57" s="3">
        <v>150</v>
      </c>
      <c r="E57" s="181" t="s">
        <v>121</v>
      </c>
      <c r="F57" s="19">
        <v>1</v>
      </c>
      <c r="G57" s="19">
        <v>16</v>
      </c>
      <c r="H57" s="3">
        <v>9099124899</v>
      </c>
      <c r="I57" s="52">
        <v>210300</v>
      </c>
      <c r="J57" s="185">
        <v>30000</v>
      </c>
      <c r="K57" s="54">
        <f>SUM(I57-J57-O57-Q57-S57)</f>
        <v>162800</v>
      </c>
      <c r="L57" s="55">
        <v>7200</v>
      </c>
      <c r="M57" s="3" t="s">
        <v>30</v>
      </c>
      <c r="N57" s="56">
        <v>44004</v>
      </c>
      <c r="O57" s="186">
        <v>7500</v>
      </c>
      <c r="P57" s="56">
        <v>44193</v>
      </c>
      <c r="Q57" s="53">
        <v>10000</v>
      </c>
    </row>
    <row r="58" spans="1:67" ht="15">
      <c r="A58" s="39">
        <v>45054</v>
      </c>
      <c r="B58" s="26" t="s">
        <v>131</v>
      </c>
      <c r="C58" s="3">
        <v>7</v>
      </c>
      <c r="D58" s="3">
        <v>200</v>
      </c>
      <c r="E58" s="187" t="s">
        <v>132</v>
      </c>
      <c r="F58" s="19">
        <v>2</v>
      </c>
      <c r="G58" s="19">
        <v>7</v>
      </c>
      <c r="H58" s="3">
        <v>9166169418</v>
      </c>
      <c r="I58" s="52">
        <v>443200</v>
      </c>
      <c r="J58" s="72">
        <v>5000</v>
      </c>
      <c r="K58" s="54">
        <f>I58-J58</f>
        <v>438200</v>
      </c>
      <c r="L58" s="55">
        <v>6720</v>
      </c>
      <c r="M58" s="3" t="s">
        <v>133</v>
      </c>
      <c r="N58" s="56"/>
      <c r="O58" s="72"/>
      <c r="P58" s="56"/>
      <c r="Q58" s="72"/>
      <c r="R58" s="56"/>
      <c r="S58" s="72"/>
      <c r="T58" s="56"/>
      <c r="U58" s="72"/>
      <c r="V58" s="56"/>
      <c r="W58" s="38"/>
      <c r="X58" s="56"/>
      <c r="Y58" s="38"/>
      <c r="Z58" s="56"/>
      <c r="AA58" s="38"/>
      <c r="AB58" s="56"/>
      <c r="AC58" s="175"/>
      <c r="AD58" s="56"/>
      <c r="AE58" s="38"/>
      <c r="AF58" s="56"/>
      <c r="AG58" s="38"/>
      <c r="AH58" s="80"/>
      <c r="AI58" s="38"/>
      <c r="AJ58" s="80"/>
      <c r="AK58" s="176"/>
      <c r="AL58" s="80"/>
      <c r="AM58" s="176"/>
      <c r="AN58" s="80"/>
      <c r="AO58" s="176"/>
      <c r="AP58" s="80"/>
      <c r="AQ58" s="176"/>
      <c r="AR58" s="80"/>
      <c r="AS58" s="176"/>
      <c r="AT58" s="80"/>
      <c r="AU58" s="188"/>
      <c r="AW58" s="188"/>
    </row>
  </sheetData>
  <mergeCells count="13">
    <mergeCell ref="A55:B55"/>
    <mergeCell ref="V35:X35"/>
    <mergeCell ref="N37:P37"/>
    <mergeCell ref="Q41:S41"/>
    <mergeCell ref="Q42:S42"/>
    <mergeCell ref="P43:R43"/>
    <mergeCell ref="X45:AA45"/>
    <mergeCell ref="N46:P46"/>
    <mergeCell ref="A48:B48"/>
    <mergeCell ref="P49:R49"/>
    <mergeCell ref="N50:P50"/>
    <mergeCell ref="Z51:AC51"/>
    <mergeCell ref="R52:U52"/>
  </mergeCells>
  <printOptions gridLines="1"/>
  <pageMargins left="0.25" right="0.25" top="0.75" bottom="0.75" header="0.3" footer="0.3"/>
  <pageSetup paperSize="5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B104"/>
  <sheetViews>
    <sheetView tabSelected="1" zoomScale="82" zoomScaleNormal="82" workbookViewId="0">
      <selection activeCell="S48" sqref="S48"/>
    </sheetView>
  </sheetViews>
  <sheetFormatPr defaultColWidth="9.140625" defaultRowHeight="15"/>
  <cols>
    <col min="1" max="1" width="8.7109375" style="19" customWidth="1"/>
    <col min="2" max="2" width="15.85546875" style="19" customWidth="1"/>
    <col min="3" max="3" width="16.42578125" style="19" customWidth="1"/>
    <col min="4" max="4" width="35.5703125" customWidth="1"/>
    <col min="5" max="5" width="10.42578125" style="19" customWidth="1"/>
    <col min="6" max="6" width="7.5703125" style="19" customWidth="1"/>
    <col min="7" max="7" width="16.85546875" style="19" customWidth="1"/>
    <col min="8" max="8" width="16.28515625" style="19" customWidth="1"/>
    <col min="9" max="9" width="13" style="427" customWidth="1"/>
    <col min="10" max="10" width="13.28515625" style="428" customWidth="1"/>
    <col min="11" max="11" width="9.140625" style="426"/>
    <col min="12" max="12" width="14.28515625" style="19" customWidth="1"/>
    <col min="13" max="13" width="14" style="197" customWidth="1"/>
    <col min="14" max="14" width="10.85546875" style="198" customWidth="1"/>
    <col min="15" max="15" width="12.85546875" style="197" customWidth="1"/>
    <col min="16" max="16" width="9.140625" style="198" customWidth="1"/>
    <col min="17" max="17" width="12.85546875" style="197" customWidth="1"/>
    <col min="18" max="18" width="9.28515625" style="198" customWidth="1"/>
    <col min="19" max="19" width="13" style="197" customWidth="1"/>
    <col min="20" max="20" width="8.42578125" style="199" customWidth="1"/>
    <col min="21" max="21" width="14.28515625" style="200" customWidth="1"/>
    <col min="22" max="22" width="9.140625" style="199"/>
    <col min="23" max="23" width="12.42578125" style="197" customWidth="1"/>
    <col min="24" max="24" width="9.140625" style="198"/>
    <col min="25" max="25" width="11.85546875" style="19" customWidth="1"/>
    <col min="26" max="26" width="9.140625" style="201"/>
    <col min="27" max="27" width="13.7109375" customWidth="1"/>
    <col min="28" max="28" width="9.140625" style="201"/>
    <col min="29" max="29" width="13" customWidth="1"/>
    <col min="30" max="30" width="9.140625" style="201"/>
    <col min="31" max="31" width="12.28515625" customWidth="1"/>
    <col min="32" max="32" width="9.140625" style="201"/>
    <col min="33" max="33" width="12.5703125" customWidth="1"/>
    <col min="34" max="34" width="9.140625" style="201"/>
    <col min="35" max="35" width="11.28515625" customWidth="1"/>
    <col min="36" max="36" width="9.140625" style="201"/>
    <col min="37" max="37" width="12.7109375" customWidth="1"/>
    <col min="38" max="38" width="9.140625" style="201"/>
    <col min="39" max="39" width="11.140625" customWidth="1"/>
    <col min="40" max="40" width="9.140625" style="201"/>
    <col min="41" max="41" width="11.140625" customWidth="1"/>
    <col min="42" max="42" width="9.140625" style="201"/>
    <col min="43" max="43" width="11.140625" customWidth="1"/>
    <col min="45" max="45" width="11.140625" customWidth="1"/>
    <col min="47" max="47" width="11" customWidth="1"/>
    <col min="49" max="49" width="11.140625" customWidth="1"/>
    <col min="51" max="51" width="11.140625" customWidth="1"/>
    <col min="53" max="53" width="11.5703125" customWidth="1"/>
    <col min="55" max="55" width="11.5703125" customWidth="1"/>
    <col min="57" max="57" width="10.140625" customWidth="1"/>
    <col min="59" max="59" width="11.140625" customWidth="1"/>
    <col min="61" max="61" width="11.140625" customWidth="1"/>
    <col min="63" max="63" width="10.140625" customWidth="1"/>
    <col min="65" max="65" width="10.140625" customWidth="1"/>
    <col min="67" max="67" width="10.140625" customWidth="1"/>
    <col min="69" max="69" width="11.140625" customWidth="1"/>
    <col min="71" max="71" width="10.85546875" customWidth="1"/>
    <col min="73" max="73" width="11.5703125" customWidth="1"/>
    <col min="75" max="75" width="11.42578125" customWidth="1"/>
    <col min="77" max="77" width="10.7109375" customWidth="1"/>
  </cols>
  <sheetData>
    <row r="1" spans="1:66">
      <c r="A1" s="19" t="s">
        <v>2</v>
      </c>
      <c r="B1" s="189" t="s">
        <v>4</v>
      </c>
      <c r="C1" s="189" t="s">
        <v>0</v>
      </c>
      <c r="D1" s="190" t="s">
        <v>1</v>
      </c>
      <c r="E1" s="189" t="s">
        <v>3</v>
      </c>
      <c r="F1" s="189" t="s">
        <v>6</v>
      </c>
      <c r="G1" s="189" t="s">
        <v>7</v>
      </c>
      <c r="H1" s="191" t="s">
        <v>8</v>
      </c>
      <c r="I1" s="192" t="s">
        <v>9</v>
      </c>
      <c r="J1" s="193" t="s">
        <v>10</v>
      </c>
      <c r="K1" s="194" t="s">
        <v>11</v>
      </c>
      <c r="L1" s="191" t="s">
        <v>12</v>
      </c>
      <c r="M1" s="191"/>
      <c r="N1" s="195"/>
      <c r="O1" s="196"/>
      <c r="P1" s="195"/>
    </row>
    <row r="2" spans="1:66">
      <c r="A2" s="19">
        <v>10</v>
      </c>
      <c r="B2" s="202" t="s">
        <v>134</v>
      </c>
      <c r="C2" s="203">
        <v>44090</v>
      </c>
      <c r="D2" s="204" t="s">
        <v>135</v>
      </c>
      <c r="E2" s="19">
        <v>100</v>
      </c>
      <c r="F2" s="19">
        <v>13</v>
      </c>
      <c r="H2" s="205">
        <v>120000</v>
      </c>
      <c r="I2" s="206">
        <v>5000</v>
      </c>
      <c r="J2" s="207">
        <f>SUM(H2-I2-N2-P2-R2)</f>
        <v>-700</v>
      </c>
      <c r="K2" s="208" t="s">
        <v>15</v>
      </c>
      <c r="L2" s="19" t="s">
        <v>16</v>
      </c>
      <c r="M2" s="209">
        <v>44111</v>
      </c>
      <c r="N2" s="210">
        <v>50000</v>
      </c>
      <c r="O2" s="209">
        <v>44173</v>
      </c>
      <c r="P2" s="210">
        <v>65000</v>
      </c>
      <c r="Q2" s="253" t="s">
        <v>17</v>
      </c>
      <c r="R2" s="884">
        <v>700</v>
      </c>
      <c r="T2" s="198"/>
      <c r="U2" s="197"/>
      <c r="V2" s="198"/>
      <c r="Z2" s="211"/>
      <c r="AA2" s="197"/>
      <c r="AB2" s="211"/>
      <c r="AC2" s="197"/>
      <c r="AD2" s="211"/>
      <c r="AE2" s="19"/>
      <c r="AF2" s="211"/>
      <c r="AG2" s="212"/>
      <c r="AH2" s="211"/>
      <c r="AI2" s="212"/>
      <c r="AJ2" s="211"/>
      <c r="AK2" s="19"/>
      <c r="AL2" s="211"/>
      <c r="AM2" s="19"/>
      <c r="AN2" s="211"/>
      <c r="AO2" s="19"/>
      <c r="AP2" s="211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>
      <c r="A3" s="19" t="s">
        <v>136</v>
      </c>
      <c r="B3" s="213" t="s">
        <v>40</v>
      </c>
      <c r="C3" s="203" t="s">
        <v>137</v>
      </c>
      <c r="D3" t="s">
        <v>138</v>
      </c>
      <c r="E3" s="19">
        <v>200</v>
      </c>
      <c r="F3" s="19">
        <v>24</v>
      </c>
      <c r="G3" s="19">
        <v>9554980290</v>
      </c>
      <c r="H3" s="205">
        <v>247000</v>
      </c>
      <c r="I3" s="214">
        <v>113660</v>
      </c>
      <c r="J3" s="207">
        <f>SUM(H3-I3-N3)</f>
        <v>0</v>
      </c>
      <c r="K3" s="208" t="s">
        <v>15</v>
      </c>
      <c r="L3" s="215">
        <v>44197</v>
      </c>
      <c r="M3" s="209">
        <v>44222</v>
      </c>
      <c r="N3" s="216">
        <v>133340</v>
      </c>
      <c r="O3" s="217" t="s">
        <v>17</v>
      </c>
      <c r="P3" s="218">
        <v>1000</v>
      </c>
      <c r="Q3" s="196"/>
      <c r="R3" s="195"/>
      <c r="T3" s="198"/>
      <c r="U3" s="197"/>
      <c r="V3" s="198"/>
      <c r="Z3" s="211"/>
      <c r="AA3" s="197"/>
      <c r="AB3" s="211"/>
      <c r="AC3" s="197"/>
      <c r="AD3" s="211"/>
      <c r="AE3" s="19"/>
      <c r="AF3" s="211"/>
      <c r="AG3" s="212"/>
      <c r="AH3" s="211"/>
      <c r="AI3" s="212"/>
      <c r="AJ3" s="211"/>
      <c r="AK3" s="19"/>
      <c r="AL3" s="211"/>
      <c r="AM3" s="19"/>
      <c r="AN3" s="211"/>
      <c r="AO3" s="19"/>
      <c r="AP3" s="211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</row>
    <row r="4" spans="1:66">
      <c r="A4" s="19">
        <v>10</v>
      </c>
      <c r="B4" s="219" t="s">
        <v>139</v>
      </c>
      <c r="C4" s="203">
        <v>44060</v>
      </c>
      <c r="D4" s="204" t="s">
        <v>140</v>
      </c>
      <c r="E4" s="19">
        <v>100</v>
      </c>
      <c r="F4" s="19">
        <v>47</v>
      </c>
      <c r="G4" s="19">
        <v>9551502847</v>
      </c>
      <c r="H4" s="220">
        <v>127000</v>
      </c>
      <c r="I4" s="221">
        <v>5000</v>
      </c>
      <c r="J4" s="207">
        <f>SUM(H4-I4-N4-P4-R4-T4-V4-X4-Z4)</f>
        <v>0</v>
      </c>
      <c r="K4" s="208" t="s">
        <v>15</v>
      </c>
      <c r="L4" s="19" t="s">
        <v>141</v>
      </c>
      <c r="M4" s="222">
        <v>44089</v>
      </c>
      <c r="N4" s="223">
        <v>15000</v>
      </c>
      <c r="O4" s="222">
        <v>44120</v>
      </c>
      <c r="P4" s="223">
        <v>15000</v>
      </c>
      <c r="Q4" s="222">
        <v>44151</v>
      </c>
      <c r="R4" s="223">
        <v>15000</v>
      </c>
      <c r="S4" s="222">
        <v>44179</v>
      </c>
      <c r="T4" s="224">
        <v>10000</v>
      </c>
      <c r="U4" s="225">
        <v>44209</v>
      </c>
      <c r="V4" s="224">
        <v>19000</v>
      </c>
      <c r="W4" s="222">
        <v>44257</v>
      </c>
      <c r="X4" s="223">
        <v>22000</v>
      </c>
      <c r="Y4" s="226">
        <v>44291</v>
      </c>
      <c r="Z4" s="227">
        <v>26000</v>
      </c>
      <c r="AA4" s="228" t="s">
        <v>17</v>
      </c>
      <c r="AB4" s="229">
        <v>500</v>
      </c>
    </row>
    <row r="5" spans="1:66">
      <c r="A5" s="19">
        <v>10</v>
      </c>
      <c r="B5" s="219" t="s">
        <v>142</v>
      </c>
      <c r="C5" s="203">
        <v>44095</v>
      </c>
      <c r="D5" s="204" t="s">
        <v>143</v>
      </c>
      <c r="E5" s="19">
        <v>400</v>
      </c>
      <c r="F5" s="19">
        <v>31</v>
      </c>
      <c r="G5" s="19">
        <v>9658608293</v>
      </c>
      <c r="H5" s="220">
        <v>480000</v>
      </c>
      <c r="I5" s="221">
        <v>15000</v>
      </c>
      <c r="J5" s="207">
        <f>SUM(H5-I5-N5-P5-R5)</f>
        <v>0</v>
      </c>
      <c r="K5" s="208" t="s">
        <v>15</v>
      </c>
      <c r="L5" s="19" t="s">
        <v>144</v>
      </c>
      <c r="M5" s="222">
        <v>44103</v>
      </c>
      <c r="N5" s="223">
        <v>65000</v>
      </c>
      <c r="O5" s="222">
        <v>44105</v>
      </c>
      <c r="P5" s="223">
        <v>30000</v>
      </c>
      <c r="Q5" s="222">
        <v>44203</v>
      </c>
      <c r="R5" s="223">
        <v>370000</v>
      </c>
    </row>
    <row r="6" spans="1:66">
      <c r="A6" s="19">
        <v>10</v>
      </c>
      <c r="B6" s="202" t="s">
        <v>145</v>
      </c>
      <c r="C6" s="203">
        <v>44078</v>
      </c>
      <c r="D6" s="230" t="s">
        <v>146</v>
      </c>
      <c r="E6" s="19">
        <v>100</v>
      </c>
      <c r="F6" s="19">
        <v>12</v>
      </c>
      <c r="G6" s="19">
        <v>9151675867</v>
      </c>
      <c r="H6" s="205">
        <v>149600</v>
      </c>
      <c r="I6" s="206">
        <v>5000</v>
      </c>
      <c r="J6" s="207">
        <f>H6-I6-N6-P6-R6-T6-V6-X6-Z6-AB6-AD6-AF6</f>
        <v>0</v>
      </c>
      <c r="K6" s="208">
        <v>5400</v>
      </c>
      <c r="L6" s="19" t="s">
        <v>30</v>
      </c>
      <c r="M6" s="209">
        <v>44104</v>
      </c>
      <c r="N6" s="210">
        <v>30000</v>
      </c>
      <c r="O6" s="209">
        <v>44210</v>
      </c>
      <c r="P6" s="210">
        <v>15000</v>
      </c>
      <c r="Q6" s="231">
        <v>44250</v>
      </c>
      <c r="R6" s="232">
        <v>15000</v>
      </c>
      <c r="S6" s="209">
        <v>44428</v>
      </c>
      <c r="T6" s="210">
        <v>15000</v>
      </c>
      <c r="U6" s="209">
        <v>44490</v>
      </c>
      <c r="V6" s="210">
        <v>15000</v>
      </c>
      <c r="W6" s="209">
        <v>44599</v>
      </c>
      <c r="X6" s="210">
        <v>15000</v>
      </c>
      <c r="Y6" s="209">
        <v>44663</v>
      </c>
      <c r="Z6" s="233">
        <v>10000</v>
      </c>
      <c r="AA6" s="209">
        <v>44741</v>
      </c>
      <c r="AB6" s="233">
        <v>15000</v>
      </c>
      <c r="AC6" s="234">
        <v>44818</v>
      </c>
      <c r="AD6" s="233">
        <v>13000</v>
      </c>
      <c r="AE6" s="235">
        <v>44908</v>
      </c>
      <c r="AF6" s="233">
        <v>1600</v>
      </c>
      <c r="AG6" s="236" t="s">
        <v>17</v>
      </c>
      <c r="AH6" s="237">
        <v>500</v>
      </c>
      <c r="AI6" s="19"/>
      <c r="AJ6" s="211"/>
      <c r="AK6" s="19"/>
      <c r="AL6" s="211"/>
      <c r="AM6" s="19"/>
      <c r="AN6" s="211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</row>
    <row r="7" spans="1:66">
      <c r="A7" s="19" t="s">
        <v>24</v>
      </c>
      <c r="B7" s="238" t="s">
        <v>25</v>
      </c>
      <c r="C7" s="203">
        <v>44091</v>
      </c>
      <c r="D7" s="239" t="s">
        <v>147</v>
      </c>
      <c r="E7" s="19">
        <v>200</v>
      </c>
      <c r="F7" s="19">
        <v>6</v>
      </c>
      <c r="G7" s="19">
        <v>9353912363</v>
      </c>
      <c r="H7" s="205">
        <v>299200</v>
      </c>
      <c r="I7" s="240">
        <v>5000</v>
      </c>
      <c r="J7" s="207">
        <f>SUM(H7-I7-N7-P7-R7-T7-V7-X7-Z7-AB7-AD7-AF7-AH7)</f>
        <v>0</v>
      </c>
      <c r="K7" s="208">
        <v>10800</v>
      </c>
      <c r="L7" s="19" t="s">
        <v>30</v>
      </c>
      <c r="M7" s="209">
        <v>44123</v>
      </c>
      <c r="N7" s="216">
        <v>35000</v>
      </c>
      <c r="O7" s="209">
        <v>44200</v>
      </c>
      <c r="P7" s="216">
        <v>21600</v>
      </c>
      <c r="Q7" s="209">
        <v>44286</v>
      </c>
      <c r="R7" s="216">
        <v>21600</v>
      </c>
      <c r="S7" s="209">
        <v>44351</v>
      </c>
      <c r="T7" s="241">
        <v>21600</v>
      </c>
      <c r="U7" s="242">
        <v>44415</v>
      </c>
      <c r="V7" s="241">
        <v>21600</v>
      </c>
      <c r="W7" s="209">
        <v>44569</v>
      </c>
      <c r="X7" s="216">
        <v>21600</v>
      </c>
      <c r="Y7" s="234">
        <v>44672</v>
      </c>
      <c r="Z7" s="243">
        <v>21600</v>
      </c>
      <c r="AA7" s="244">
        <v>44769</v>
      </c>
      <c r="AB7" s="243">
        <v>21600</v>
      </c>
      <c r="AC7" s="244">
        <v>44859</v>
      </c>
      <c r="AD7" s="243">
        <v>21600</v>
      </c>
      <c r="AE7" s="244">
        <v>44859</v>
      </c>
      <c r="AF7" s="243">
        <v>21600</v>
      </c>
      <c r="AG7" s="244">
        <v>44929</v>
      </c>
      <c r="AH7" s="243">
        <v>64800</v>
      </c>
      <c r="AI7" s="244">
        <v>44951</v>
      </c>
      <c r="AJ7" s="243">
        <v>1000</v>
      </c>
    </row>
    <row r="8" spans="1:66" ht="15.75" customHeight="1">
      <c r="A8" s="19">
        <v>7</v>
      </c>
      <c r="B8" s="245" t="s">
        <v>148</v>
      </c>
      <c r="C8" s="203">
        <v>45577</v>
      </c>
      <c r="D8" t="s">
        <v>149</v>
      </c>
      <c r="E8" s="19">
        <v>182</v>
      </c>
      <c r="F8" s="19">
        <v>38</v>
      </c>
      <c r="G8" s="19">
        <v>9363378811</v>
      </c>
      <c r="H8" s="205">
        <v>424800</v>
      </c>
      <c r="I8" s="246">
        <v>5000</v>
      </c>
      <c r="J8" s="207">
        <f>H8-I8-N8-P8-R8-T8-V8-X8-Z8-AB8-AD8</f>
        <v>333800</v>
      </c>
      <c r="K8" s="208">
        <v>5400</v>
      </c>
      <c r="L8" s="862" t="s">
        <v>175</v>
      </c>
      <c r="M8" s="209">
        <v>45621</v>
      </c>
      <c r="N8" s="247">
        <v>15000</v>
      </c>
      <c r="O8" s="209">
        <v>45687</v>
      </c>
      <c r="P8" s="247">
        <v>16000</v>
      </c>
      <c r="Q8" s="209">
        <v>45715</v>
      </c>
      <c r="R8" s="247">
        <v>7000</v>
      </c>
      <c r="S8" s="209">
        <v>45776</v>
      </c>
      <c r="T8" s="755">
        <v>12000</v>
      </c>
      <c r="U8" s="242">
        <v>45807</v>
      </c>
      <c r="V8" s="755">
        <v>5000</v>
      </c>
      <c r="W8" s="209">
        <v>45838</v>
      </c>
      <c r="X8" s="779">
        <v>12000</v>
      </c>
      <c r="Y8" s="234">
        <v>45895</v>
      </c>
      <c r="Z8" s="805">
        <v>10000</v>
      </c>
      <c r="AA8" s="244">
        <v>46140</v>
      </c>
      <c r="AB8" s="805">
        <v>4000</v>
      </c>
      <c r="AC8" s="244">
        <v>46196</v>
      </c>
      <c r="AD8" s="805">
        <v>5000</v>
      </c>
      <c r="AE8" s="244"/>
      <c r="AF8" s="243"/>
      <c r="AG8" s="244"/>
      <c r="AH8" s="243"/>
      <c r="AI8" s="244"/>
      <c r="AJ8" s="243"/>
    </row>
    <row r="9" spans="1:66">
      <c r="A9" s="19">
        <v>10</v>
      </c>
      <c r="B9" s="248" t="s">
        <v>121</v>
      </c>
      <c r="C9" s="203">
        <v>44062</v>
      </c>
      <c r="D9" s="249" t="s">
        <v>150</v>
      </c>
      <c r="E9" s="19">
        <v>100</v>
      </c>
      <c r="F9" s="19">
        <v>43</v>
      </c>
      <c r="G9" s="19">
        <v>9103187231</v>
      </c>
      <c r="H9" s="205">
        <v>149600</v>
      </c>
      <c r="I9" s="250">
        <v>20000</v>
      </c>
      <c r="J9" s="207">
        <f>H9-I9-N9-P9-R9-T9-V9-Z9-AB9-AD9-AF9</f>
        <v>0</v>
      </c>
      <c r="K9" s="208">
        <v>5400</v>
      </c>
      <c r="L9" s="19" t="s">
        <v>30</v>
      </c>
      <c r="M9" s="209">
        <v>44120</v>
      </c>
      <c r="N9" s="251">
        <v>10800</v>
      </c>
      <c r="O9" s="209">
        <v>44180</v>
      </c>
      <c r="P9" s="251">
        <v>10800</v>
      </c>
      <c r="Q9" s="209">
        <v>44238</v>
      </c>
      <c r="R9" s="251">
        <v>10800</v>
      </c>
      <c r="S9" s="209">
        <v>44337</v>
      </c>
      <c r="T9" s="252">
        <v>16200</v>
      </c>
      <c r="U9" s="242">
        <v>44463</v>
      </c>
      <c r="V9" s="252">
        <v>21600</v>
      </c>
      <c r="W9" s="253" t="s">
        <v>26</v>
      </c>
      <c r="X9" s="254">
        <v>500</v>
      </c>
      <c r="Y9" s="234">
        <v>44559</v>
      </c>
      <c r="Z9" s="255">
        <v>5400</v>
      </c>
      <c r="AA9" s="244">
        <v>44631</v>
      </c>
      <c r="AB9" s="255">
        <v>5400</v>
      </c>
      <c r="AC9" s="244">
        <v>44680</v>
      </c>
      <c r="AD9" s="255">
        <v>5400</v>
      </c>
      <c r="AE9" s="244">
        <v>44800</v>
      </c>
      <c r="AF9" s="255">
        <v>43200</v>
      </c>
      <c r="AG9" s="256" t="s">
        <v>17</v>
      </c>
      <c r="AH9" s="257">
        <v>1000</v>
      </c>
    </row>
    <row r="10" spans="1:66">
      <c r="A10" s="19">
        <v>7</v>
      </c>
      <c r="B10" s="258" t="s">
        <v>20</v>
      </c>
      <c r="C10" s="203">
        <v>45506</v>
      </c>
      <c r="D10" t="s">
        <v>151</v>
      </c>
      <c r="E10" s="19">
        <v>100</v>
      </c>
      <c r="F10" s="19">
        <v>8</v>
      </c>
      <c r="G10" s="19">
        <v>9366387200</v>
      </c>
      <c r="H10" s="205">
        <v>192800</v>
      </c>
      <c r="I10" s="259">
        <v>20000</v>
      </c>
      <c r="J10" s="207">
        <f>H10-I10-N10-P10-R10-T10-V10</f>
        <v>153800</v>
      </c>
      <c r="K10" s="208">
        <v>4800</v>
      </c>
      <c r="L10" s="19" t="s">
        <v>69</v>
      </c>
      <c r="M10" s="209">
        <v>45539</v>
      </c>
      <c r="N10" s="260">
        <v>3000</v>
      </c>
      <c r="O10" s="209">
        <v>45580</v>
      </c>
      <c r="P10" s="260">
        <v>3000</v>
      </c>
      <c r="Q10" s="209">
        <v>45694</v>
      </c>
      <c r="R10" s="260">
        <v>3000</v>
      </c>
      <c r="S10" s="209">
        <v>45792</v>
      </c>
      <c r="T10" s="351">
        <v>4000</v>
      </c>
      <c r="U10" s="242">
        <v>45887</v>
      </c>
      <c r="V10" s="351">
        <v>6000</v>
      </c>
      <c r="Y10" s="234"/>
      <c r="Z10" s="243"/>
      <c r="AA10" s="244"/>
      <c r="AB10" s="243"/>
      <c r="AC10" s="244"/>
      <c r="AD10" s="243"/>
      <c r="AE10" s="244"/>
      <c r="AF10" s="243"/>
      <c r="AG10" s="244"/>
      <c r="AH10" s="243"/>
    </row>
    <row r="11" spans="1:66">
      <c r="A11" s="19">
        <v>10</v>
      </c>
      <c r="B11" s="267" t="s">
        <v>33</v>
      </c>
      <c r="C11" s="203">
        <v>44060</v>
      </c>
      <c r="D11" s="239" t="s">
        <v>156</v>
      </c>
      <c r="E11" s="19">
        <v>200</v>
      </c>
      <c r="F11" s="19">
        <v>35</v>
      </c>
      <c r="G11" s="19">
        <v>9552531732</v>
      </c>
      <c r="H11" s="205">
        <v>299200</v>
      </c>
      <c r="I11" s="268">
        <v>10000</v>
      </c>
      <c r="J11" s="207">
        <f>H11-I11-N11-P11-R11-T11-V11-X11-Z11-AB11-AD11-AF11-AH11-AJ11-AL11</f>
        <v>0</v>
      </c>
      <c r="K11" s="208">
        <v>10800</v>
      </c>
      <c r="L11" s="19" t="s">
        <v>30</v>
      </c>
      <c r="M11" s="209">
        <v>44091</v>
      </c>
      <c r="N11" s="269">
        <v>10000</v>
      </c>
      <c r="O11" s="209">
        <v>44125</v>
      </c>
      <c r="P11" s="269">
        <v>20000</v>
      </c>
      <c r="Q11" s="209">
        <v>44200</v>
      </c>
      <c r="R11" s="269">
        <v>20000</v>
      </c>
      <c r="S11" s="209">
        <v>44252</v>
      </c>
      <c r="T11" s="270">
        <v>10000</v>
      </c>
      <c r="U11" s="242">
        <v>44424</v>
      </c>
      <c r="V11" s="270">
        <v>10000</v>
      </c>
      <c r="W11" s="209">
        <v>44601</v>
      </c>
      <c r="X11" s="269">
        <v>30000</v>
      </c>
      <c r="Y11" s="234">
        <v>44664</v>
      </c>
      <c r="Z11" s="271">
        <v>40000</v>
      </c>
      <c r="AA11" s="244">
        <v>44768</v>
      </c>
      <c r="AB11" s="271">
        <v>10000</v>
      </c>
      <c r="AC11" s="244">
        <v>44638</v>
      </c>
      <c r="AD11" s="271">
        <v>20000</v>
      </c>
      <c r="AE11" s="244">
        <v>44851</v>
      </c>
      <c r="AF11" s="271">
        <v>10000</v>
      </c>
      <c r="AG11" s="244">
        <v>44646</v>
      </c>
      <c r="AH11" s="271">
        <v>10000</v>
      </c>
      <c r="AI11" s="244">
        <v>45384</v>
      </c>
      <c r="AJ11" s="271">
        <v>89200</v>
      </c>
      <c r="AK11" s="244">
        <v>45385</v>
      </c>
      <c r="AL11" s="271">
        <v>10000</v>
      </c>
      <c r="AM11" s="228" t="s">
        <v>17</v>
      </c>
      <c r="AN11" s="257">
        <v>2900</v>
      </c>
    </row>
    <row r="12" spans="1:66">
      <c r="A12" s="19">
        <v>10</v>
      </c>
      <c r="B12" s="272" t="s">
        <v>33</v>
      </c>
      <c r="C12" s="273">
        <v>44055</v>
      </c>
      <c r="D12" s="274" t="s">
        <v>157</v>
      </c>
      <c r="E12" s="275">
        <v>200</v>
      </c>
      <c r="F12" s="275">
        <v>51</v>
      </c>
      <c r="G12" s="275">
        <v>9951940103</v>
      </c>
      <c r="H12" s="276">
        <v>284320</v>
      </c>
      <c r="I12" s="277">
        <v>10000</v>
      </c>
      <c r="J12" s="278">
        <f>SUM(H12-I12-N12-P12-R12-T12-V12-X12-Z12-AB12-AD12-AF12-AH12-AJ12-AL12-AN12-AP12-AR12-AT12-AV12-AX12)</f>
        <v>0</v>
      </c>
      <c r="K12" s="279">
        <v>10800</v>
      </c>
      <c r="L12" s="196" t="s">
        <v>53</v>
      </c>
      <c r="M12" s="231">
        <v>44088</v>
      </c>
      <c r="N12" s="280">
        <v>30000</v>
      </c>
      <c r="O12" s="231">
        <v>44117</v>
      </c>
      <c r="P12" s="280">
        <v>10800</v>
      </c>
      <c r="Q12" s="209">
        <v>44146</v>
      </c>
      <c r="R12" s="269">
        <v>10800</v>
      </c>
      <c r="S12" s="209">
        <v>44179</v>
      </c>
      <c r="T12" s="269">
        <v>10800</v>
      </c>
      <c r="U12" s="242">
        <v>44205</v>
      </c>
      <c r="V12" s="269">
        <v>10800</v>
      </c>
      <c r="W12" s="209">
        <v>44237</v>
      </c>
      <c r="X12" s="269">
        <v>10800</v>
      </c>
      <c r="Y12" s="234">
        <v>44268</v>
      </c>
      <c r="Z12" s="269">
        <v>10800</v>
      </c>
      <c r="AA12" s="244">
        <v>44298</v>
      </c>
      <c r="AB12" s="269">
        <v>20000</v>
      </c>
      <c r="AC12" s="244">
        <v>44328</v>
      </c>
      <c r="AD12" s="269">
        <v>10800</v>
      </c>
      <c r="AE12" s="244">
        <v>44359</v>
      </c>
      <c r="AF12" s="269">
        <v>10800</v>
      </c>
      <c r="AG12" s="244">
        <v>44389</v>
      </c>
      <c r="AH12" s="271">
        <v>30000</v>
      </c>
      <c r="AI12" s="244">
        <v>44420</v>
      </c>
      <c r="AJ12" s="271">
        <v>11000</v>
      </c>
      <c r="AK12" s="244">
        <v>44450</v>
      </c>
      <c r="AL12" s="271">
        <v>8000</v>
      </c>
      <c r="AM12" s="244">
        <v>44481</v>
      </c>
      <c r="AN12" s="271">
        <v>10800</v>
      </c>
      <c r="AO12" s="244">
        <v>44513</v>
      </c>
      <c r="AP12" s="271">
        <v>11000</v>
      </c>
      <c r="AQ12" s="244">
        <v>44574</v>
      </c>
      <c r="AR12" s="281">
        <v>11000</v>
      </c>
      <c r="AS12" s="244">
        <v>44603</v>
      </c>
      <c r="AT12" s="281">
        <v>18000</v>
      </c>
      <c r="AU12" s="244">
        <v>44638</v>
      </c>
      <c r="AV12" s="282">
        <v>20000</v>
      </c>
      <c r="AW12" s="244">
        <v>44662</v>
      </c>
      <c r="AX12" s="281">
        <v>18120</v>
      </c>
      <c r="AY12" s="283" t="s">
        <v>17</v>
      </c>
      <c r="AZ12" s="284">
        <v>1500</v>
      </c>
    </row>
    <row r="13" spans="1:66">
      <c r="A13" s="19">
        <v>10</v>
      </c>
      <c r="B13" s="219" t="s">
        <v>142</v>
      </c>
      <c r="C13" s="273">
        <v>44102</v>
      </c>
      <c r="D13" s="274" t="s">
        <v>158</v>
      </c>
      <c r="E13" s="275">
        <v>200</v>
      </c>
      <c r="F13" s="275">
        <v>26</v>
      </c>
      <c r="G13" s="275">
        <v>9952940648</v>
      </c>
      <c r="H13" s="285">
        <v>269440</v>
      </c>
      <c r="I13" s="286">
        <v>50000</v>
      </c>
      <c r="J13" s="278">
        <f>H13-I13-N13-P13-R13-T13-V13-X13</f>
        <v>0</v>
      </c>
      <c r="K13" s="279">
        <v>18286</v>
      </c>
      <c r="L13" s="196" t="s">
        <v>159</v>
      </c>
      <c r="M13" s="287">
        <v>44155</v>
      </c>
      <c r="N13" s="288">
        <v>20000</v>
      </c>
      <c r="O13" s="287">
        <v>44240</v>
      </c>
      <c r="P13" s="288">
        <v>20000</v>
      </c>
      <c r="Q13" s="222">
        <v>44286</v>
      </c>
      <c r="R13" s="223">
        <v>20000</v>
      </c>
      <c r="S13" s="222">
        <v>44312</v>
      </c>
      <c r="T13" s="224">
        <v>20000</v>
      </c>
      <c r="U13" s="225">
        <v>44471</v>
      </c>
      <c r="V13" s="224">
        <v>90000</v>
      </c>
      <c r="W13" s="209">
        <v>44504</v>
      </c>
      <c r="X13" s="251">
        <v>49440</v>
      </c>
      <c r="Y13" s="289" t="s">
        <v>17</v>
      </c>
      <c r="Z13" s="290">
        <v>1000</v>
      </c>
    </row>
    <row r="14" spans="1:66">
      <c r="A14" s="19" t="s">
        <v>24</v>
      </c>
      <c r="B14" s="238" t="s">
        <v>25</v>
      </c>
      <c r="C14" s="203">
        <v>44096</v>
      </c>
      <c r="D14" t="s">
        <v>162</v>
      </c>
      <c r="E14" s="19">
        <v>100</v>
      </c>
      <c r="F14" s="19">
        <v>16</v>
      </c>
      <c r="G14" s="19">
        <v>9658612590</v>
      </c>
      <c r="H14" s="205">
        <v>134720</v>
      </c>
      <c r="I14" s="240">
        <v>5000</v>
      </c>
      <c r="J14" s="207">
        <f>SUM(H14-I14-N14-P14-R14-T14-V14-X14-Z14-AB14-AD14-AF14-AH14-AJ14)</f>
        <v>9560</v>
      </c>
      <c r="K14" s="208">
        <v>9560</v>
      </c>
      <c r="L14" s="19" t="s">
        <v>159</v>
      </c>
      <c r="M14" s="209">
        <v>44103</v>
      </c>
      <c r="N14" s="216">
        <v>15000</v>
      </c>
      <c r="O14" s="209">
        <v>44138</v>
      </c>
      <c r="P14" s="216">
        <v>9560</v>
      </c>
      <c r="Q14" s="209">
        <v>43860</v>
      </c>
      <c r="R14" s="216">
        <v>9560</v>
      </c>
      <c r="S14" s="209">
        <v>44201</v>
      </c>
      <c r="T14" s="241">
        <v>9560</v>
      </c>
      <c r="U14" s="242">
        <v>44228</v>
      </c>
      <c r="V14" s="241">
        <v>9560</v>
      </c>
      <c r="W14" s="209">
        <v>44259</v>
      </c>
      <c r="X14" s="216">
        <v>9560</v>
      </c>
      <c r="Y14" s="234">
        <v>44291</v>
      </c>
      <c r="Z14" s="243">
        <v>9560</v>
      </c>
      <c r="AA14" s="244">
        <v>44328</v>
      </c>
      <c r="AB14" s="243">
        <v>9560</v>
      </c>
      <c r="AC14" s="244">
        <v>44347</v>
      </c>
      <c r="AD14" s="243">
        <v>9560</v>
      </c>
      <c r="AE14" s="244">
        <v>44370</v>
      </c>
      <c r="AF14" s="243">
        <v>9560</v>
      </c>
      <c r="AG14" s="244">
        <v>44403</v>
      </c>
      <c r="AH14" s="243">
        <v>9560</v>
      </c>
      <c r="AI14" s="244">
        <v>44439</v>
      </c>
      <c r="AJ14" s="243">
        <v>9560</v>
      </c>
      <c r="AK14" s="283" t="s">
        <v>17</v>
      </c>
      <c r="AL14" s="290">
        <v>500</v>
      </c>
    </row>
    <row r="15" spans="1:66">
      <c r="A15" s="19">
        <v>10</v>
      </c>
      <c r="B15" s="295" t="s">
        <v>163</v>
      </c>
      <c r="C15" s="203">
        <v>44098</v>
      </c>
      <c r="D15" s="249" t="s">
        <v>164</v>
      </c>
      <c r="E15" s="19" t="s">
        <v>165</v>
      </c>
      <c r="F15" s="19">
        <v>1</v>
      </c>
      <c r="G15" s="19">
        <v>9460004613</v>
      </c>
      <c r="H15" s="205">
        <v>150000</v>
      </c>
      <c r="I15" s="296">
        <v>150000</v>
      </c>
      <c r="J15" s="207">
        <f>SUM(H15-I15)</f>
        <v>0</v>
      </c>
      <c r="K15" s="208" t="s">
        <v>15</v>
      </c>
      <c r="L15" s="19" t="s">
        <v>16</v>
      </c>
      <c r="M15" s="209"/>
      <c r="N15" s="199"/>
    </row>
    <row r="16" spans="1:66">
      <c r="A16" s="19">
        <v>10</v>
      </c>
      <c r="B16" s="295" t="s">
        <v>163</v>
      </c>
      <c r="C16" s="203">
        <v>44054</v>
      </c>
      <c r="D16" s="239" t="s">
        <v>164</v>
      </c>
      <c r="E16" s="262" t="s">
        <v>166</v>
      </c>
      <c r="F16" s="19">
        <v>1</v>
      </c>
      <c r="G16" s="19">
        <v>9460004613</v>
      </c>
      <c r="H16" s="205">
        <v>356800</v>
      </c>
      <c r="I16" s="296">
        <v>15000</v>
      </c>
      <c r="J16" s="207">
        <f>SUM(H16-I16-N16-P16-R16-T16-V16)</f>
        <v>0</v>
      </c>
      <c r="K16" s="208">
        <v>13200</v>
      </c>
      <c r="L16" s="19" t="s">
        <v>53</v>
      </c>
      <c r="M16" s="209">
        <v>44200</v>
      </c>
      <c r="N16" s="297">
        <v>50000</v>
      </c>
      <c r="O16" s="209">
        <v>44664</v>
      </c>
      <c r="P16" s="298">
        <v>50000</v>
      </c>
      <c r="Q16" s="209">
        <v>44701</v>
      </c>
      <c r="R16" s="298">
        <v>15000</v>
      </c>
      <c r="S16" s="209">
        <v>44928</v>
      </c>
      <c r="T16" s="299">
        <v>200000</v>
      </c>
      <c r="U16" s="242">
        <v>45016</v>
      </c>
      <c r="V16" s="299">
        <v>26800</v>
      </c>
      <c r="W16" s="253" t="s">
        <v>17</v>
      </c>
      <c r="X16" s="218">
        <v>1500</v>
      </c>
    </row>
    <row r="17" spans="1:62">
      <c r="A17" s="19" t="s">
        <v>24</v>
      </c>
      <c r="B17" s="213" t="s">
        <v>40</v>
      </c>
      <c r="C17" s="203">
        <v>44074</v>
      </c>
      <c r="D17" t="s">
        <v>167</v>
      </c>
      <c r="E17" s="19" t="s">
        <v>168</v>
      </c>
      <c r="F17" s="19" t="s">
        <v>169</v>
      </c>
      <c r="G17" s="19">
        <v>9450996145</v>
      </c>
      <c r="H17" s="205">
        <v>546800</v>
      </c>
      <c r="I17" s="240">
        <v>10000</v>
      </c>
      <c r="J17" s="207">
        <f>SUM(H17-I17-N17-P17-R17-T17-X17-Z17-AB17-AD17-AF17-AH17-AJ17-AL17)</f>
        <v>0</v>
      </c>
      <c r="K17" s="208">
        <v>16183</v>
      </c>
      <c r="L17" s="19" t="s">
        <v>170</v>
      </c>
      <c r="M17" s="209">
        <v>44097</v>
      </c>
      <c r="N17" s="216">
        <v>120000</v>
      </c>
      <c r="O17" s="209">
        <v>44240</v>
      </c>
      <c r="P17" s="216">
        <v>50000</v>
      </c>
      <c r="Q17" s="209">
        <v>44447</v>
      </c>
      <c r="R17" s="216">
        <v>20000</v>
      </c>
      <c r="S17" s="209">
        <v>44937</v>
      </c>
      <c r="T17" s="241">
        <v>159200</v>
      </c>
      <c r="U17" s="300" t="s">
        <v>171</v>
      </c>
      <c r="V17" s="301">
        <v>2500</v>
      </c>
      <c r="W17" s="209">
        <v>45195</v>
      </c>
      <c r="X17" s="216">
        <v>23000</v>
      </c>
      <c r="Y17" s="234">
        <v>45604</v>
      </c>
      <c r="Z17" s="243">
        <v>30000</v>
      </c>
      <c r="AA17" s="244">
        <v>45673</v>
      </c>
      <c r="AB17" s="243">
        <v>20000</v>
      </c>
      <c r="AC17" s="244">
        <v>45708</v>
      </c>
      <c r="AD17" s="243">
        <v>20000</v>
      </c>
      <c r="AE17" s="244">
        <v>45763</v>
      </c>
      <c r="AF17" s="243">
        <v>20000</v>
      </c>
      <c r="AG17" s="244">
        <v>45839</v>
      </c>
      <c r="AH17" s="243">
        <v>25000</v>
      </c>
      <c r="AI17" s="244">
        <v>45943</v>
      </c>
      <c r="AJ17" s="243">
        <v>30000</v>
      </c>
      <c r="AK17" s="244">
        <v>46034</v>
      </c>
      <c r="AL17" s="243">
        <v>19600</v>
      </c>
      <c r="AM17" s="228" t="s">
        <v>17</v>
      </c>
      <c r="AN17" s="257">
        <v>2250</v>
      </c>
    </row>
    <row r="18" spans="1:62">
      <c r="A18" s="19">
        <v>10</v>
      </c>
      <c r="B18" s="219" t="s">
        <v>14</v>
      </c>
      <c r="C18" s="203">
        <v>44054</v>
      </c>
      <c r="D18" t="s">
        <v>172</v>
      </c>
      <c r="E18" s="19">
        <v>540</v>
      </c>
      <c r="F18" s="19">
        <v>37</v>
      </c>
      <c r="H18" s="205">
        <v>1020000</v>
      </c>
      <c r="I18" s="221">
        <v>30000</v>
      </c>
      <c r="J18" s="207">
        <f>SUM(H18-I18-N18-P18-R18-T18-V18-X18-Z18-AB18-AD18)</f>
        <v>0</v>
      </c>
      <c r="K18" s="208">
        <v>35640</v>
      </c>
      <c r="L18" s="19" t="s">
        <v>69</v>
      </c>
      <c r="M18" s="209">
        <v>44095</v>
      </c>
      <c r="N18" s="223">
        <v>90000</v>
      </c>
      <c r="O18" s="209">
        <v>44106</v>
      </c>
      <c r="P18" s="223">
        <v>30000</v>
      </c>
      <c r="Q18" s="197" t="s">
        <v>173</v>
      </c>
      <c r="R18" s="223">
        <v>30000</v>
      </c>
      <c r="S18" s="209">
        <v>44158</v>
      </c>
      <c r="T18" s="224">
        <v>19200</v>
      </c>
      <c r="U18" s="242">
        <v>44203</v>
      </c>
      <c r="V18" s="224">
        <v>39600</v>
      </c>
      <c r="W18" s="209">
        <v>44292</v>
      </c>
      <c r="X18" s="223">
        <v>39600</v>
      </c>
      <c r="Y18" s="234">
        <v>44309</v>
      </c>
      <c r="Z18" s="224">
        <v>39600</v>
      </c>
      <c r="AA18" s="244">
        <v>44340</v>
      </c>
      <c r="AB18" s="227">
        <v>52400</v>
      </c>
      <c r="AC18" s="244">
        <v>45838</v>
      </c>
      <c r="AD18" s="776">
        <v>649600</v>
      </c>
      <c r="AE18" s="256" t="s">
        <v>17</v>
      </c>
      <c r="AF18" s="257">
        <v>4500</v>
      </c>
    </row>
    <row r="19" spans="1:62">
      <c r="A19" s="19">
        <v>7</v>
      </c>
      <c r="B19" s="302" t="s">
        <v>132</v>
      </c>
      <c r="C19" s="203">
        <v>45612</v>
      </c>
      <c r="D19" t="s">
        <v>174</v>
      </c>
      <c r="E19" s="19">
        <v>127</v>
      </c>
      <c r="F19" s="19">
        <v>18</v>
      </c>
      <c r="G19" s="19">
        <v>9359580155</v>
      </c>
      <c r="H19" s="205">
        <v>217400</v>
      </c>
      <c r="I19" s="303">
        <v>20000</v>
      </c>
      <c r="J19" s="207">
        <f>H19-I19-N19-P19-R19</f>
        <v>0</v>
      </c>
      <c r="K19" s="208">
        <v>3810</v>
      </c>
      <c r="L19" s="898" t="s">
        <v>53</v>
      </c>
      <c r="M19" s="209">
        <v>45635</v>
      </c>
      <c r="N19" s="304">
        <v>5400</v>
      </c>
      <c r="O19" s="209">
        <v>46098</v>
      </c>
      <c r="P19" s="401">
        <v>2000</v>
      </c>
      <c r="Q19" s="209">
        <v>46263</v>
      </c>
      <c r="R19" s="216">
        <v>190000</v>
      </c>
      <c r="S19" s="209"/>
      <c r="T19" s="241"/>
      <c r="U19" s="242"/>
      <c r="V19" s="241"/>
      <c r="W19" s="209"/>
      <c r="X19" s="216"/>
      <c r="Y19" s="234"/>
      <c r="Z19" s="241"/>
      <c r="AA19" s="244"/>
      <c r="AB19" s="243"/>
    </row>
    <row r="20" spans="1:62" s="795" customFormat="1">
      <c r="A20" s="781" t="s">
        <v>682</v>
      </c>
      <c r="B20" s="781" t="s">
        <v>716</v>
      </c>
      <c r="C20" s="832">
        <v>46265</v>
      </c>
      <c r="D20" s="795" t="s">
        <v>174</v>
      </c>
      <c r="E20" s="781">
        <v>172</v>
      </c>
      <c r="F20" s="781">
        <v>17</v>
      </c>
      <c r="G20" s="781">
        <v>9303295698</v>
      </c>
      <c r="H20" s="792">
        <v>405920</v>
      </c>
      <c r="I20" s="877">
        <v>34400</v>
      </c>
      <c r="J20" s="833">
        <f>H20-I20</f>
        <v>371520</v>
      </c>
      <c r="K20" s="834">
        <v>5160</v>
      </c>
      <c r="L20" s="781" t="s">
        <v>175</v>
      </c>
      <c r="M20" s="835"/>
      <c r="N20" s="836"/>
      <c r="O20" s="835"/>
      <c r="P20" s="836"/>
      <c r="Q20" s="835"/>
      <c r="R20" s="836"/>
      <c r="S20" s="835"/>
      <c r="T20" s="837"/>
      <c r="U20" s="838"/>
      <c r="V20" s="837"/>
      <c r="W20" s="835"/>
      <c r="X20" s="836"/>
      <c r="Y20" s="783"/>
      <c r="Z20" s="837"/>
      <c r="AA20" s="794"/>
      <c r="AB20" s="839"/>
      <c r="AD20" s="863"/>
      <c r="AF20" s="863"/>
      <c r="AH20" s="863"/>
      <c r="AJ20" s="863"/>
      <c r="AL20" s="863"/>
      <c r="AN20" s="863"/>
      <c r="AP20" s="863"/>
    </row>
    <row r="21" spans="1:62">
      <c r="A21" s="19">
        <v>10</v>
      </c>
      <c r="B21" s="309" t="s">
        <v>178</v>
      </c>
      <c r="C21" s="203">
        <v>44092</v>
      </c>
      <c r="D21" s="239" t="s">
        <v>179</v>
      </c>
      <c r="E21" s="19">
        <v>200</v>
      </c>
      <c r="F21" s="19">
        <v>7</v>
      </c>
      <c r="H21" s="205">
        <v>299200</v>
      </c>
      <c r="I21" s="310">
        <v>10000</v>
      </c>
      <c r="J21" s="207">
        <f>SUM(H21-I21-N21-R21-T21-V21-X21-Z21-AB21-AD21-AF21-AH21-AJ21-AL21-AN21-AP21-AR21-AT21-AV21-AX21-AZ21-BB21-BD21-BF21-BH21)</f>
        <v>10800</v>
      </c>
      <c r="K21" s="208">
        <v>10800</v>
      </c>
      <c r="L21" s="19" t="s">
        <v>30</v>
      </c>
      <c r="M21" s="209">
        <v>44112</v>
      </c>
      <c r="N21" s="311">
        <v>30000</v>
      </c>
      <c r="O21" s="253" t="s">
        <v>63</v>
      </c>
      <c r="P21" s="254">
        <v>500</v>
      </c>
      <c r="Q21" s="209">
        <v>44177</v>
      </c>
      <c r="R21" s="311">
        <v>10800</v>
      </c>
      <c r="S21" s="209">
        <v>44254</v>
      </c>
      <c r="T21" s="311">
        <v>10800</v>
      </c>
      <c r="U21" s="242">
        <v>44285</v>
      </c>
      <c r="V21" s="311">
        <v>10800</v>
      </c>
      <c r="W21" s="209">
        <v>44316</v>
      </c>
      <c r="X21" s="311">
        <v>10800</v>
      </c>
      <c r="Y21" s="234">
        <v>44342</v>
      </c>
      <c r="Z21" s="311">
        <v>10800</v>
      </c>
      <c r="AA21" t="s">
        <v>180</v>
      </c>
      <c r="AB21" s="311">
        <v>10800</v>
      </c>
      <c r="AC21" s="244">
        <v>44408</v>
      </c>
      <c r="AD21" s="311">
        <v>10800</v>
      </c>
      <c r="AE21" s="244">
        <v>44433</v>
      </c>
      <c r="AF21" s="311">
        <v>10800</v>
      </c>
      <c r="AG21" s="244">
        <v>44462</v>
      </c>
      <c r="AH21" s="311">
        <v>10800</v>
      </c>
      <c r="AI21" s="244">
        <v>44498</v>
      </c>
      <c r="AJ21" s="312">
        <v>10800</v>
      </c>
      <c r="AK21" s="244">
        <v>44527</v>
      </c>
      <c r="AL21" s="312">
        <v>10800</v>
      </c>
      <c r="AM21" s="244">
        <v>44559</v>
      </c>
      <c r="AN21" s="312">
        <v>10800</v>
      </c>
      <c r="AO21" s="244">
        <v>44587</v>
      </c>
      <c r="AP21" s="312">
        <v>10800</v>
      </c>
      <c r="AQ21" s="244">
        <v>44618</v>
      </c>
      <c r="AR21" s="313">
        <v>10800</v>
      </c>
      <c r="AS21" s="244">
        <v>44650</v>
      </c>
      <c r="AT21" s="313">
        <v>21600</v>
      </c>
      <c r="AU21" s="244">
        <v>44709</v>
      </c>
      <c r="AV21" s="313">
        <v>10800</v>
      </c>
      <c r="AW21" s="244">
        <v>44740</v>
      </c>
      <c r="AX21" s="313">
        <v>10800</v>
      </c>
      <c r="AY21" s="244">
        <v>44768</v>
      </c>
      <c r="AZ21" s="313">
        <v>10800</v>
      </c>
      <c r="BA21" s="244">
        <v>44803</v>
      </c>
      <c r="BB21" s="313">
        <v>10800</v>
      </c>
      <c r="BC21" s="244">
        <v>44835</v>
      </c>
      <c r="BD21" s="313">
        <v>10800</v>
      </c>
      <c r="BE21" s="244">
        <v>44868</v>
      </c>
      <c r="BF21" s="313">
        <v>10800</v>
      </c>
      <c r="BG21" s="244">
        <v>44894</v>
      </c>
      <c r="BH21" s="314">
        <v>10800</v>
      </c>
      <c r="BI21" s="244">
        <v>44922</v>
      </c>
      <c r="BJ21" s="314">
        <v>10800</v>
      </c>
    </row>
    <row r="22" spans="1:62" ht="14.25" customHeight="1">
      <c r="A22" s="19">
        <v>7</v>
      </c>
      <c r="B22" s="319" t="s">
        <v>152</v>
      </c>
      <c r="C22" s="234">
        <v>45444</v>
      </c>
      <c r="D22" s="239" t="s">
        <v>183</v>
      </c>
      <c r="E22" s="19">
        <v>100</v>
      </c>
      <c r="F22" s="19">
        <v>46</v>
      </c>
      <c r="G22" s="19">
        <v>9639464416</v>
      </c>
      <c r="H22" s="205">
        <v>178400</v>
      </c>
      <c r="I22" s="320">
        <v>20000</v>
      </c>
      <c r="J22" s="207">
        <f>H22-I22-N22-P22-R22-T22-V22-X22-Z22-AB22-AD22-AF22-AH22-AJ22-AL22-AN22</f>
        <v>0</v>
      </c>
      <c r="K22" s="208">
        <v>6600</v>
      </c>
      <c r="L22" s="19" t="s">
        <v>53</v>
      </c>
      <c r="M22" s="209">
        <v>45654</v>
      </c>
      <c r="N22" s="757">
        <v>6600</v>
      </c>
      <c r="O22" s="209">
        <v>45654</v>
      </c>
      <c r="P22" s="757">
        <v>13200</v>
      </c>
      <c r="Q22" s="209">
        <v>45682</v>
      </c>
      <c r="R22" s="757">
        <v>6605</v>
      </c>
      <c r="S22" s="209">
        <v>45742</v>
      </c>
      <c r="T22" s="758">
        <v>6600</v>
      </c>
      <c r="U22" s="242">
        <v>45805</v>
      </c>
      <c r="V22" s="758">
        <v>6600</v>
      </c>
      <c r="W22" s="209">
        <v>45835</v>
      </c>
      <c r="X22" s="757">
        <v>6600</v>
      </c>
      <c r="Y22" s="234">
        <v>45897</v>
      </c>
      <c r="Z22" s="804">
        <v>6600</v>
      </c>
      <c r="AA22" s="244">
        <v>45957</v>
      </c>
      <c r="AB22" s="804">
        <v>6600</v>
      </c>
      <c r="AC22" s="244">
        <v>46048</v>
      </c>
      <c r="AD22" s="804">
        <v>6600</v>
      </c>
      <c r="AE22" s="244">
        <v>46081</v>
      </c>
      <c r="AF22" s="804">
        <v>13200</v>
      </c>
      <c r="AG22" s="244">
        <v>46081</v>
      </c>
      <c r="AH22" s="804">
        <v>6600</v>
      </c>
      <c r="AI22" s="244">
        <v>46102</v>
      </c>
      <c r="AJ22" s="804">
        <v>6600</v>
      </c>
      <c r="AK22" s="244">
        <v>46140</v>
      </c>
      <c r="AL22" s="804">
        <v>6600</v>
      </c>
      <c r="AM22" s="244">
        <v>46170</v>
      </c>
      <c r="AN22" s="804">
        <v>59395</v>
      </c>
      <c r="AO22" s="228" t="s">
        <v>17</v>
      </c>
      <c r="AP22" s="257">
        <v>2678</v>
      </c>
    </row>
    <row r="23" spans="1:62">
      <c r="A23" s="19">
        <v>10</v>
      </c>
      <c r="B23" s="267" t="s">
        <v>33</v>
      </c>
      <c r="C23" s="203">
        <v>44063</v>
      </c>
      <c r="D23" s="239" t="s">
        <v>184</v>
      </c>
      <c r="E23" s="19">
        <v>200</v>
      </c>
      <c r="F23" s="19">
        <v>33</v>
      </c>
      <c r="G23" s="19">
        <v>9353613135</v>
      </c>
      <c r="H23" s="205">
        <v>299200</v>
      </c>
      <c r="I23" s="268">
        <v>10000</v>
      </c>
      <c r="J23" s="207">
        <f>SUM(H23-I23-N23-P23-R23-T23-V23-X23-Z23-AB23-AD23-AF23-AH23-AJ23-AM2-AL23-AN23-AP23-AR23-AT23)</f>
        <v>10800</v>
      </c>
      <c r="K23" s="208">
        <v>10800</v>
      </c>
      <c r="L23" s="19" t="s">
        <v>30</v>
      </c>
      <c r="M23" s="209">
        <v>44107</v>
      </c>
      <c r="N23" s="269">
        <v>30000</v>
      </c>
      <c r="O23" s="209">
        <v>44135</v>
      </c>
      <c r="P23" s="269">
        <v>5000</v>
      </c>
      <c r="Q23" s="209">
        <v>44148</v>
      </c>
      <c r="R23" s="269">
        <v>5800</v>
      </c>
      <c r="S23" s="209">
        <v>44193</v>
      </c>
      <c r="T23" s="270">
        <v>10800</v>
      </c>
      <c r="U23" s="242">
        <v>44260</v>
      </c>
      <c r="V23" s="270">
        <v>10800</v>
      </c>
      <c r="W23" s="209">
        <v>44316</v>
      </c>
      <c r="X23" s="269">
        <v>5800</v>
      </c>
      <c r="Y23" s="234">
        <v>44347</v>
      </c>
      <c r="Z23" s="271">
        <v>10800</v>
      </c>
      <c r="AA23" s="244">
        <v>44376</v>
      </c>
      <c r="AB23" s="271">
        <v>10800</v>
      </c>
      <c r="AC23" s="244">
        <v>44406</v>
      </c>
      <c r="AD23" s="271">
        <v>10800</v>
      </c>
      <c r="AE23" s="244">
        <v>44435</v>
      </c>
      <c r="AF23" s="271">
        <v>10800</v>
      </c>
      <c r="AG23" s="244">
        <v>44469</v>
      </c>
      <c r="AH23" s="271">
        <v>11000</v>
      </c>
      <c r="AI23" s="244">
        <v>44497</v>
      </c>
      <c r="AJ23" s="271">
        <v>21600</v>
      </c>
      <c r="AK23" s="244">
        <v>44534</v>
      </c>
      <c r="AL23" s="271">
        <v>16000</v>
      </c>
      <c r="AM23" s="244">
        <v>44648</v>
      </c>
      <c r="AN23" s="271">
        <v>10800</v>
      </c>
      <c r="AO23" s="244">
        <v>44697</v>
      </c>
      <c r="AP23" s="271">
        <v>10800</v>
      </c>
      <c r="AQ23" s="244">
        <v>44774</v>
      </c>
      <c r="AR23" s="281">
        <v>11000</v>
      </c>
      <c r="AS23" s="244">
        <v>44790</v>
      </c>
      <c r="AT23" s="281">
        <v>85800</v>
      </c>
      <c r="AU23" s="283" t="s">
        <v>17</v>
      </c>
      <c r="AV23" s="284">
        <v>1500</v>
      </c>
    </row>
    <row r="24" spans="1:62" s="795" customFormat="1">
      <c r="A24" s="781">
        <v>7</v>
      </c>
      <c r="B24" s="846" t="s">
        <v>493</v>
      </c>
      <c r="C24" s="832">
        <v>45996</v>
      </c>
      <c r="D24" s="239" t="s">
        <v>688</v>
      </c>
      <c r="E24" s="781">
        <v>150</v>
      </c>
      <c r="F24" s="781">
        <v>22</v>
      </c>
      <c r="G24" s="781">
        <v>9468106639</v>
      </c>
      <c r="H24" s="792">
        <v>354000</v>
      </c>
      <c r="I24" s="240">
        <v>15000</v>
      </c>
      <c r="J24" s="833">
        <f>H24-I24-N24</f>
        <v>339000</v>
      </c>
      <c r="K24" s="834">
        <v>4500</v>
      </c>
      <c r="L24" s="781" t="s">
        <v>175</v>
      </c>
      <c r="M24" s="835"/>
      <c r="N24" s="836"/>
      <c r="O24" s="835"/>
      <c r="P24" s="836"/>
      <c r="Q24" s="835"/>
      <c r="R24" s="836"/>
      <c r="S24" s="835"/>
      <c r="T24" s="837"/>
      <c r="U24" s="838"/>
      <c r="V24" s="837"/>
      <c r="W24" s="835"/>
      <c r="X24" s="836"/>
      <c r="Y24" s="783"/>
      <c r="Z24" s="839"/>
      <c r="AA24" s="794"/>
      <c r="AB24" s="839"/>
      <c r="AC24" s="794"/>
      <c r="AD24" s="839"/>
      <c r="AE24" s="794"/>
      <c r="AF24" s="839"/>
      <c r="AG24" s="794"/>
      <c r="AH24" s="839"/>
      <c r="AI24" s="794"/>
      <c r="AJ24" s="839"/>
      <c r="AK24" s="794"/>
      <c r="AL24" s="839"/>
      <c r="AM24" s="794"/>
      <c r="AN24" s="839"/>
      <c r="AO24" s="794"/>
      <c r="AP24" s="839"/>
      <c r="AQ24" s="794"/>
      <c r="AR24" s="793"/>
      <c r="AS24" s="794"/>
      <c r="AT24" s="793"/>
      <c r="AU24" s="794"/>
      <c r="AV24" s="793"/>
    </row>
    <row r="25" spans="1:62">
      <c r="A25" s="19">
        <v>10</v>
      </c>
      <c r="B25" s="267" t="s">
        <v>33</v>
      </c>
      <c r="C25" s="203">
        <v>44097</v>
      </c>
      <c r="D25" s="230" t="s">
        <v>185</v>
      </c>
      <c r="E25" s="19">
        <v>100</v>
      </c>
      <c r="F25" s="19">
        <v>40</v>
      </c>
      <c r="G25" s="19">
        <v>9652588490</v>
      </c>
      <c r="H25" s="205">
        <v>149600</v>
      </c>
      <c r="I25" s="268">
        <v>5000</v>
      </c>
      <c r="J25" s="207">
        <f>SUM(H25-I25-N25-P25-R25-T25-V25-X25-Z25-AB25-AD25-AF25-AH25-AJ25-AL25-AN25-AP25-AR25-AT25-AV25-AX25-AZ25)</f>
        <v>0</v>
      </c>
      <c r="K25" s="208">
        <v>5400</v>
      </c>
      <c r="L25" s="19" t="s">
        <v>30</v>
      </c>
      <c r="M25" s="209">
        <v>44126</v>
      </c>
      <c r="N25" s="269">
        <v>15000</v>
      </c>
      <c r="O25" s="209">
        <v>44158</v>
      </c>
      <c r="P25" s="269">
        <v>5400</v>
      </c>
      <c r="Q25" s="209">
        <v>44194</v>
      </c>
      <c r="R25" s="269">
        <v>5400</v>
      </c>
      <c r="S25" s="209">
        <v>44222</v>
      </c>
      <c r="T25" s="269">
        <v>5400</v>
      </c>
      <c r="U25" s="242">
        <v>44253</v>
      </c>
      <c r="V25" s="269">
        <v>5400</v>
      </c>
      <c r="W25" s="209">
        <v>44285</v>
      </c>
      <c r="X25" s="269">
        <v>5400</v>
      </c>
      <c r="Y25" s="234">
        <v>44315</v>
      </c>
      <c r="Z25" s="269">
        <v>5400</v>
      </c>
      <c r="AA25" s="244">
        <v>44341</v>
      </c>
      <c r="AB25" s="271">
        <v>5400</v>
      </c>
      <c r="AC25" s="244">
        <v>44376</v>
      </c>
      <c r="AD25" s="271">
        <v>5400</v>
      </c>
      <c r="AE25" s="244">
        <v>44410</v>
      </c>
      <c r="AF25" s="271">
        <v>5400</v>
      </c>
      <c r="AG25" s="244">
        <v>44438</v>
      </c>
      <c r="AH25" s="271">
        <v>5400</v>
      </c>
      <c r="AI25" s="244">
        <v>44498</v>
      </c>
      <c r="AJ25" s="271">
        <v>10800</v>
      </c>
      <c r="AK25" s="244">
        <v>44575</v>
      </c>
      <c r="AL25" s="271">
        <v>16200</v>
      </c>
      <c r="AM25" s="244">
        <v>44631</v>
      </c>
      <c r="AN25" s="271">
        <v>5400</v>
      </c>
      <c r="AO25" s="244">
        <v>44664</v>
      </c>
      <c r="AP25" s="271">
        <v>5400</v>
      </c>
      <c r="AQ25" s="244">
        <v>44693</v>
      </c>
      <c r="AR25" s="281">
        <v>5400</v>
      </c>
      <c r="AS25" s="244">
        <v>44706</v>
      </c>
      <c r="AT25" s="281">
        <v>5400</v>
      </c>
      <c r="AU25" s="244">
        <v>44737</v>
      </c>
      <c r="AV25" s="281">
        <v>5400</v>
      </c>
      <c r="AW25" s="244">
        <v>44804</v>
      </c>
      <c r="AX25" s="281">
        <v>10800</v>
      </c>
      <c r="AY25" s="244">
        <v>44854</v>
      </c>
      <c r="AZ25" s="281">
        <v>10800</v>
      </c>
      <c r="BA25" s="228" t="s">
        <v>17</v>
      </c>
      <c r="BB25" s="321">
        <v>1000</v>
      </c>
    </row>
    <row r="26" spans="1:62">
      <c r="A26" s="19">
        <v>5</v>
      </c>
      <c r="B26" s="322" t="s">
        <v>186</v>
      </c>
      <c r="C26" s="203">
        <v>44055</v>
      </c>
      <c r="D26" s="204" t="s">
        <v>187</v>
      </c>
      <c r="E26" s="19">
        <v>200</v>
      </c>
      <c r="F26" s="19">
        <v>52</v>
      </c>
      <c r="G26" s="19">
        <v>9123820784</v>
      </c>
      <c r="H26" s="205">
        <v>269440</v>
      </c>
      <c r="I26" s="263">
        <v>10000</v>
      </c>
      <c r="J26" s="207">
        <f>SUM(H26-I26-N26-R26-T26-V26-X26-Z26)</f>
        <v>0</v>
      </c>
      <c r="K26" s="208">
        <v>10800</v>
      </c>
      <c r="L26" s="19" t="s">
        <v>30</v>
      </c>
      <c r="M26" s="209">
        <v>44105</v>
      </c>
      <c r="N26" s="264">
        <v>70000</v>
      </c>
      <c r="O26" s="253" t="s">
        <v>26</v>
      </c>
      <c r="P26" s="254">
        <v>500</v>
      </c>
      <c r="Q26" s="209">
        <v>44207</v>
      </c>
      <c r="R26" s="264">
        <v>50000</v>
      </c>
      <c r="S26" s="209">
        <v>44321</v>
      </c>
      <c r="T26" s="323">
        <v>40000</v>
      </c>
      <c r="U26" s="242">
        <v>44467</v>
      </c>
      <c r="V26" s="323">
        <v>30000</v>
      </c>
      <c r="W26" s="209">
        <v>44544</v>
      </c>
      <c r="X26" s="264">
        <v>59000</v>
      </c>
      <c r="Y26" s="234">
        <v>44553</v>
      </c>
      <c r="Z26" s="324">
        <v>10440</v>
      </c>
      <c r="AA26" s="325" t="s">
        <v>17</v>
      </c>
      <c r="AB26" s="326">
        <v>1000</v>
      </c>
    </row>
    <row r="27" spans="1:62">
      <c r="A27" s="19" t="s">
        <v>15</v>
      </c>
      <c r="B27" s="295" t="s">
        <v>188</v>
      </c>
      <c r="C27" s="203">
        <v>44054</v>
      </c>
      <c r="D27" s="327" t="s">
        <v>189</v>
      </c>
      <c r="E27" s="275" t="s">
        <v>190</v>
      </c>
      <c r="F27" s="275">
        <v>36</v>
      </c>
      <c r="G27" s="275">
        <v>9556386768</v>
      </c>
      <c r="H27" s="276">
        <v>225000</v>
      </c>
      <c r="I27" s="328">
        <v>150000</v>
      </c>
      <c r="J27" s="278">
        <f>H27-I27-N27-P27</f>
        <v>-40000</v>
      </c>
      <c r="K27" s="279" t="s">
        <v>15</v>
      </c>
      <c r="L27" s="196" t="s">
        <v>16</v>
      </c>
      <c r="M27" s="329">
        <v>44076</v>
      </c>
      <c r="N27" s="330">
        <v>40000</v>
      </c>
      <c r="O27" s="231">
        <v>44139</v>
      </c>
      <c r="P27" s="331">
        <v>75000</v>
      </c>
      <c r="Q27" s="209"/>
      <c r="R27" s="216"/>
      <c r="S27" s="209"/>
      <c r="T27" s="241"/>
    </row>
    <row r="28" spans="1:62">
      <c r="A28" s="19" t="s">
        <v>15</v>
      </c>
      <c r="B28" s="295" t="s">
        <v>188</v>
      </c>
      <c r="C28" s="203">
        <v>44054</v>
      </c>
      <c r="D28" s="332" t="s">
        <v>189</v>
      </c>
      <c r="E28" s="275" t="s">
        <v>190</v>
      </c>
      <c r="F28" s="275">
        <v>36</v>
      </c>
      <c r="G28" s="275">
        <v>9556386768</v>
      </c>
      <c r="H28" s="276">
        <v>299200</v>
      </c>
      <c r="I28" s="328">
        <v>40000</v>
      </c>
      <c r="J28" s="278">
        <f>SUM(H28-I28-N28-P28-R28-V28-X28)</f>
        <v>14960</v>
      </c>
      <c r="K28" s="279">
        <v>10800</v>
      </c>
      <c r="L28" s="196" t="s">
        <v>30</v>
      </c>
      <c r="M28" s="231">
        <v>44236</v>
      </c>
      <c r="N28" s="333">
        <v>42000</v>
      </c>
      <c r="O28" s="329">
        <v>44352</v>
      </c>
      <c r="P28" s="330">
        <v>23000</v>
      </c>
      <c r="Q28" s="231">
        <v>44669</v>
      </c>
      <c r="R28" s="334">
        <v>50000</v>
      </c>
      <c r="S28" s="217" t="s">
        <v>17</v>
      </c>
      <c r="T28" s="218">
        <v>1000</v>
      </c>
      <c r="U28" s="209">
        <v>44922</v>
      </c>
      <c r="V28" s="241">
        <v>100240</v>
      </c>
      <c r="W28" s="242">
        <v>44922</v>
      </c>
      <c r="X28" s="241">
        <v>29000</v>
      </c>
      <c r="Y28" s="197"/>
      <c r="Z28" s="198"/>
      <c r="AA28" s="19"/>
      <c r="AR28" s="201"/>
    </row>
    <row r="29" spans="1:62">
      <c r="A29" s="19">
        <v>10</v>
      </c>
      <c r="B29" s="219" t="s">
        <v>121</v>
      </c>
      <c r="C29" s="203">
        <v>44058</v>
      </c>
      <c r="D29" s="249" t="s">
        <v>191</v>
      </c>
      <c r="E29" s="19">
        <v>100</v>
      </c>
      <c r="F29" s="19">
        <v>10</v>
      </c>
      <c r="G29" s="19">
        <v>9956391501</v>
      </c>
      <c r="H29" s="205">
        <v>149600</v>
      </c>
      <c r="I29" s="221">
        <v>5000</v>
      </c>
      <c r="J29" s="207">
        <f>SUM(H29-I29-N29-P29-R29-T29-V29-X29-Z29-AB29-AD29-AF29-AH29-AJ29-AL29-AP29-AR29-AT29-AV29-AN29-AX29)</f>
        <v>0</v>
      </c>
      <c r="K29" s="279">
        <v>10800</v>
      </c>
      <c r="L29" s="19" t="s">
        <v>30</v>
      </c>
      <c r="M29" s="209">
        <v>44095</v>
      </c>
      <c r="N29" s="223">
        <v>15000</v>
      </c>
      <c r="O29" s="209">
        <v>44109</v>
      </c>
      <c r="P29" s="223">
        <v>5400</v>
      </c>
      <c r="Q29" s="209">
        <v>44172</v>
      </c>
      <c r="R29" s="223">
        <v>4000</v>
      </c>
      <c r="S29" s="209">
        <v>44214</v>
      </c>
      <c r="T29" s="223">
        <v>4000</v>
      </c>
      <c r="U29" s="242">
        <v>44242</v>
      </c>
      <c r="V29" s="224">
        <v>5000</v>
      </c>
      <c r="W29" s="209">
        <v>44292</v>
      </c>
      <c r="X29" s="223">
        <v>5400</v>
      </c>
      <c r="Y29" s="234">
        <v>44326</v>
      </c>
      <c r="Z29" s="224">
        <v>5000</v>
      </c>
      <c r="AA29" s="244">
        <v>44369</v>
      </c>
      <c r="AB29" s="227">
        <v>2600</v>
      </c>
      <c r="AC29" s="244">
        <v>44403</v>
      </c>
      <c r="AD29" s="227">
        <v>3000</v>
      </c>
      <c r="AE29" s="244">
        <v>44448</v>
      </c>
      <c r="AF29" s="227">
        <v>7000</v>
      </c>
      <c r="AG29" s="244">
        <v>44509</v>
      </c>
      <c r="AH29" s="227">
        <v>6000</v>
      </c>
      <c r="AI29" s="244">
        <v>44564</v>
      </c>
      <c r="AJ29" s="255">
        <v>5500</v>
      </c>
      <c r="AK29" s="244">
        <v>44606</v>
      </c>
      <c r="AL29" s="255">
        <v>5000</v>
      </c>
      <c r="AM29" s="335">
        <v>44638</v>
      </c>
      <c r="AN29" s="255">
        <v>5100</v>
      </c>
      <c r="AO29" s="244">
        <v>44669</v>
      </c>
      <c r="AP29" s="255">
        <v>5500</v>
      </c>
      <c r="AQ29" s="244">
        <v>44711</v>
      </c>
      <c r="AR29" s="255">
        <v>4500</v>
      </c>
      <c r="AS29" s="244">
        <v>44748</v>
      </c>
      <c r="AT29" s="336">
        <v>6000</v>
      </c>
      <c r="AU29" s="244">
        <v>44776</v>
      </c>
      <c r="AV29" s="336">
        <v>6000</v>
      </c>
      <c r="AW29" s="244">
        <v>44784</v>
      </c>
      <c r="AX29" s="336">
        <v>44600</v>
      </c>
      <c r="AY29" s="325" t="s">
        <v>17</v>
      </c>
      <c r="AZ29" s="325">
        <v>500</v>
      </c>
    </row>
    <row r="30" spans="1:62" s="795" customFormat="1">
      <c r="A30" s="781">
        <v>7</v>
      </c>
      <c r="B30" s="781" t="s">
        <v>201</v>
      </c>
      <c r="C30" s="832">
        <v>46192</v>
      </c>
      <c r="D30" s="795" t="s">
        <v>191</v>
      </c>
      <c r="E30" s="781">
        <v>100</v>
      </c>
      <c r="F30" s="781">
        <v>9</v>
      </c>
      <c r="G30" s="781">
        <v>9755701947</v>
      </c>
      <c r="H30" s="792">
        <v>192800</v>
      </c>
      <c r="I30" s="877">
        <v>5000</v>
      </c>
      <c r="J30" s="833">
        <f>H30-I30-N30-P30</f>
        <v>172800</v>
      </c>
      <c r="K30" s="878">
        <v>4800</v>
      </c>
      <c r="L30" s="781" t="s">
        <v>69</v>
      </c>
      <c r="M30" s="835">
        <v>46206</v>
      </c>
      <c r="N30" s="836">
        <v>10000</v>
      </c>
      <c r="O30" s="835">
        <v>46239</v>
      </c>
      <c r="P30" s="836">
        <v>5000</v>
      </c>
      <c r="Q30" s="835"/>
      <c r="R30" s="836"/>
      <c r="S30" s="835"/>
      <c r="T30" s="836"/>
      <c r="U30" s="838"/>
      <c r="V30" s="837"/>
      <c r="W30" s="835"/>
      <c r="X30" s="836"/>
      <c r="Y30" s="783"/>
      <c r="Z30" s="837"/>
      <c r="AA30" s="794"/>
      <c r="AB30" s="839"/>
      <c r="AC30" s="794"/>
      <c r="AD30" s="839"/>
      <c r="AE30" s="794"/>
      <c r="AF30" s="839"/>
      <c r="AG30" s="794"/>
      <c r="AH30" s="839"/>
      <c r="AI30" s="794"/>
      <c r="AJ30" s="839"/>
      <c r="AK30" s="794"/>
      <c r="AL30" s="839"/>
      <c r="AM30" s="879"/>
      <c r="AN30" s="839"/>
      <c r="AO30" s="794"/>
      <c r="AP30" s="839"/>
      <c r="AQ30" s="794"/>
      <c r="AR30" s="839"/>
      <c r="AS30" s="794"/>
      <c r="AT30" s="793"/>
      <c r="AU30" s="794"/>
      <c r="AV30" s="793"/>
      <c r="AW30" s="794"/>
      <c r="AX30" s="793"/>
    </row>
    <row r="31" spans="1:62">
      <c r="A31" s="19">
        <v>10</v>
      </c>
      <c r="B31" s="258" t="s">
        <v>20</v>
      </c>
      <c r="C31" s="203" t="s">
        <v>192</v>
      </c>
      <c r="D31" s="249" t="s">
        <v>193</v>
      </c>
      <c r="E31" s="19">
        <v>200</v>
      </c>
      <c r="F31" s="19">
        <v>2</v>
      </c>
      <c r="G31" s="19">
        <v>9231048683</v>
      </c>
      <c r="H31" s="205">
        <v>235000</v>
      </c>
      <c r="I31" s="259">
        <v>15000</v>
      </c>
      <c r="J31" s="207">
        <v>0</v>
      </c>
      <c r="K31" s="279" t="s">
        <v>15</v>
      </c>
      <c r="L31" s="19" t="s">
        <v>16</v>
      </c>
      <c r="M31" s="209">
        <v>44267</v>
      </c>
      <c r="N31" s="260">
        <v>220000</v>
      </c>
      <c r="O31" s="217" t="s">
        <v>17</v>
      </c>
      <c r="P31" s="218">
        <v>500</v>
      </c>
      <c r="Q31" s="209"/>
      <c r="R31" s="216"/>
      <c r="S31" s="209"/>
      <c r="T31" s="216"/>
      <c r="U31" s="242"/>
      <c r="V31" s="241"/>
    </row>
    <row r="32" spans="1:62">
      <c r="A32" s="19">
        <v>10</v>
      </c>
      <c r="B32" s="258" t="s">
        <v>194</v>
      </c>
      <c r="C32" s="203">
        <v>44056</v>
      </c>
      <c r="D32" s="249" t="s">
        <v>195</v>
      </c>
      <c r="E32" s="19" t="s">
        <v>168</v>
      </c>
      <c r="F32" s="19">
        <v>2</v>
      </c>
      <c r="G32" s="19">
        <v>9231048683</v>
      </c>
      <c r="H32" s="205">
        <v>475000</v>
      </c>
      <c r="I32" s="259">
        <v>10000</v>
      </c>
      <c r="J32" s="207">
        <f>SUM(H32-I32-N32-P32)</f>
        <v>0</v>
      </c>
      <c r="K32" s="208" t="s">
        <v>15</v>
      </c>
      <c r="L32" s="19" t="s">
        <v>16</v>
      </c>
      <c r="M32" s="209">
        <v>44057</v>
      </c>
      <c r="N32" s="260">
        <v>5000</v>
      </c>
      <c r="O32" s="209">
        <v>44145</v>
      </c>
      <c r="P32" s="260">
        <v>460000</v>
      </c>
      <c r="Q32" s="253" t="s">
        <v>196</v>
      </c>
      <c r="R32" s="218">
        <v>1000</v>
      </c>
    </row>
    <row r="33" spans="1:80">
      <c r="A33" s="19">
        <v>10</v>
      </c>
      <c r="B33" s="238" t="s">
        <v>25</v>
      </c>
      <c r="C33" s="203" t="s">
        <v>197</v>
      </c>
      <c r="D33" t="s">
        <v>198</v>
      </c>
      <c r="E33" s="19">
        <v>100</v>
      </c>
      <c r="F33" s="19">
        <v>41</v>
      </c>
      <c r="G33" s="19">
        <v>9203683707</v>
      </c>
      <c r="H33" s="205">
        <v>192800</v>
      </c>
      <c r="I33" s="240">
        <v>20000</v>
      </c>
      <c r="J33" s="207">
        <f>SUM(H33-I33-N33-P33-R33-T33-V33)</f>
        <v>149200</v>
      </c>
      <c r="K33" s="208">
        <v>5400</v>
      </c>
      <c r="L33" s="19" t="s">
        <v>21</v>
      </c>
      <c r="M33" s="209">
        <v>44334</v>
      </c>
      <c r="N33" s="337">
        <v>5400</v>
      </c>
      <c r="O33" s="209">
        <v>44368</v>
      </c>
      <c r="P33" s="337">
        <v>5400</v>
      </c>
      <c r="Q33" s="209">
        <v>44396</v>
      </c>
      <c r="R33" s="337">
        <v>5400</v>
      </c>
      <c r="S33" s="209">
        <v>44421</v>
      </c>
      <c r="T33" s="338">
        <v>5400</v>
      </c>
      <c r="U33" s="242">
        <v>44827</v>
      </c>
      <c r="V33" s="338">
        <v>2000</v>
      </c>
    </row>
    <row r="34" spans="1:80">
      <c r="A34" s="19">
        <v>10</v>
      </c>
      <c r="B34" s="202" t="s">
        <v>134</v>
      </c>
      <c r="C34" s="203">
        <v>44091</v>
      </c>
      <c r="D34" s="239" t="s">
        <v>199</v>
      </c>
      <c r="E34" s="19">
        <v>100</v>
      </c>
      <c r="F34" s="19">
        <v>15</v>
      </c>
      <c r="G34" s="19">
        <v>9558908577</v>
      </c>
      <c r="H34" s="205">
        <v>150340</v>
      </c>
      <c r="I34" s="206">
        <v>5000</v>
      </c>
      <c r="J34" s="207">
        <f>SUM(H34-I34-N34-P34-R34-T34-V34-X34-Z34-AB34-AD34-AF34-AH34-AJ34-AL34-AN34-AP34)</f>
        <v>0</v>
      </c>
      <c r="K34" s="208">
        <v>5400</v>
      </c>
      <c r="L34" s="19" t="s">
        <v>30</v>
      </c>
      <c r="M34" s="209">
        <v>44100</v>
      </c>
      <c r="N34" s="210">
        <v>7000</v>
      </c>
      <c r="O34" s="209">
        <v>44117</v>
      </c>
      <c r="P34" s="210">
        <v>5000</v>
      </c>
      <c r="Q34" s="209">
        <v>44132</v>
      </c>
      <c r="R34" s="210">
        <v>3000</v>
      </c>
      <c r="S34" s="209">
        <v>44161</v>
      </c>
      <c r="T34" s="339">
        <v>3400</v>
      </c>
      <c r="U34" s="242">
        <v>44207</v>
      </c>
      <c r="V34" s="339">
        <v>2500</v>
      </c>
      <c r="W34" s="209">
        <v>44421</v>
      </c>
      <c r="X34" s="210">
        <v>5000</v>
      </c>
      <c r="Y34" s="234">
        <v>44608</v>
      </c>
      <c r="Z34" s="340">
        <v>15000</v>
      </c>
      <c r="AA34" s="244">
        <v>44757</v>
      </c>
      <c r="AB34" s="340">
        <v>20000</v>
      </c>
      <c r="AC34" s="244">
        <v>44774</v>
      </c>
      <c r="AD34" s="340">
        <v>10000</v>
      </c>
      <c r="AE34" s="244">
        <v>44908</v>
      </c>
      <c r="AF34" s="340">
        <v>20000</v>
      </c>
      <c r="AG34" s="244">
        <v>44935</v>
      </c>
      <c r="AH34" s="340">
        <v>10000</v>
      </c>
      <c r="AI34" s="244">
        <v>45058</v>
      </c>
      <c r="AJ34" s="340">
        <v>10000</v>
      </c>
      <c r="AK34" s="244">
        <v>45097</v>
      </c>
      <c r="AL34" s="340">
        <v>10000</v>
      </c>
      <c r="AM34" s="244">
        <v>45247</v>
      </c>
      <c r="AN34" s="340">
        <v>10000</v>
      </c>
      <c r="AO34" s="244">
        <v>45450</v>
      </c>
      <c r="AP34" s="243">
        <v>14440</v>
      </c>
    </row>
    <row r="35" spans="1:80">
      <c r="A35" s="19">
        <v>10</v>
      </c>
      <c r="B35" s="258" t="s">
        <v>20</v>
      </c>
      <c r="C35" s="203">
        <v>44058</v>
      </c>
      <c r="D35" s="249" t="s">
        <v>200</v>
      </c>
      <c r="E35" s="19" t="s">
        <v>85</v>
      </c>
      <c r="F35" s="19">
        <v>4</v>
      </c>
      <c r="G35" s="19">
        <v>9757689525</v>
      </c>
      <c r="H35" s="205">
        <v>120000</v>
      </c>
      <c r="I35" s="259">
        <v>5000</v>
      </c>
      <c r="J35" s="207">
        <f>SUM(H35-I35-N35-P35-R35)</f>
        <v>0</v>
      </c>
      <c r="K35" s="208" t="s">
        <v>15</v>
      </c>
      <c r="L35" s="19" t="s">
        <v>16</v>
      </c>
      <c r="M35" s="209">
        <v>44060</v>
      </c>
      <c r="N35" s="260">
        <v>5000</v>
      </c>
      <c r="O35" s="209">
        <v>44236</v>
      </c>
      <c r="P35" s="260">
        <v>40000</v>
      </c>
      <c r="Q35" s="209">
        <v>44303</v>
      </c>
      <c r="R35" s="260">
        <v>70000</v>
      </c>
      <c r="S35" s="253" t="s">
        <v>26</v>
      </c>
      <c r="T35" s="341">
        <v>500</v>
      </c>
    </row>
    <row r="36" spans="1:80">
      <c r="A36" s="19">
        <v>10</v>
      </c>
      <c r="B36" s="258" t="s">
        <v>20</v>
      </c>
      <c r="C36" s="203"/>
      <c r="D36" s="249" t="s">
        <v>200</v>
      </c>
      <c r="E36" s="19" t="s">
        <v>85</v>
      </c>
      <c r="F36" s="19">
        <v>4</v>
      </c>
      <c r="G36" s="19">
        <v>9757689525</v>
      </c>
      <c r="H36" s="205">
        <v>127360</v>
      </c>
      <c r="I36" s="259">
        <v>15000</v>
      </c>
      <c r="J36" s="207">
        <f>H36-I36-N36</f>
        <v>0</v>
      </c>
      <c r="K36" s="208"/>
      <c r="L36" s="19" t="s">
        <v>66</v>
      </c>
      <c r="M36" s="209">
        <v>44567</v>
      </c>
      <c r="N36" s="260">
        <v>112360</v>
      </c>
      <c r="O36" s="265" t="s">
        <v>17</v>
      </c>
      <c r="P36" s="266">
        <v>1000</v>
      </c>
    </row>
    <row r="37" spans="1:80" ht="19.5" customHeight="1">
      <c r="A37" s="19">
        <v>7</v>
      </c>
      <c r="B37" s="342" t="s">
        <v>201</v>
      </c>
      <c r="C37" s="203">
        <v>45719</v>
      </c>
      <c r="D37" s="343" t="s">
        <v>202</v>
      </c>
      <c r="E37" s="19">
        <v>200</v>
      </c>
      <c r="F37" s="19">
        <v>23</v>
      </c>
      <c r="G37" s="19">
        <v>9652598362</v>
      </c>
      <c r="H37" s="205">
        <v>472000</v>
      </c>
      <c r="I37" s="303">
        <v>20000</v>
      </c>
      <c r="J37" s="207">
        <f>H37-I37-N37-P37-R37</f>
        <v>400000</v>
      </c>
      <c r="K37" s="208">
        <v>6000</v>
      </c>
      <c r="L37" s="262" t="s">
        <v>175</v>
      </c>
      <c r="M37" s="209">
        <v>45736</v>
      </c>
      <c r="N37" s="304">
        <v>20000</v>
      </c>
      <c r="O37" s="209">
        <v>45799</v>
      </c>
      <c r="P37" s="401">
        <v>10000</v>
      </c>
      <c r="Q37" s="209">
        <v>46059</v>
      </c>
      <c r="R37" s="401">
        <v>22000</v>
      </c>
    </row>
    <row r="38" spans="1:80" ht="18.75" customHeight="1">
      <c r="A38" s="19">
        <v>10</v>
      </c>
      <c r="B38" s="267" t="s">
        <v>38</v>
      </c>
      <c r="C38" s="203">
        <v>44104</v>
      </c>
      <c r="D38" t="s">
        <v>203</v>
      </c>
      <c r="E38" s="19">
        <v>270</v>
      </c>
      <c r="F38" s="19">
        <v>53</v>
      </c>
      <c r="G38" s="19">
        <v>9555922368</v>
      </c>
      <c r="H38" s="205">
        <v>481680</v>
      </c>
      <c r="I38" s="344">
        <v>60000</v>
      </c>
      <c r="J38" s="207">
        <f>SUM(H38-I38-N38-P38-R38)</f>
        <v>0</v>
      </c>
      <c r="K38" s="208">
        <v>17820</v>
      </c>
      <c r="L38" s="19" t="s">
        <v>53</v>
      </c>
      <c r="M38" s="209">
        <v>44280</v>
      </c>
      <c r="N38" s="269">
        <v>99000</v>
      </c>
      <c r="O38" s="345" t="s">
        <v>204</v>
      </c>
      <c r="P38" s="269">
        <v>322680</v>
      </c>
    </row>
    <row r="39" spans="1:80">
      <c r="A39" s="19">
        <v>7</v>
      </c>
      <c r="B39" s="245" t="s">
        <v>148</v>
      </c>
      <c r="C39" s="203">
        <v>45377</v>
      </c>
      <c r="D39" t="s">
        <v>205</v>
      </c>
      <c r="E39" s="19">
        <v>100</v>
      </c>
      <c r="F39" s="19">
        <v>45</v>
      </c>
      <c r="G39" s="19">
        <v>9531235835</v>
      </c>
      <c r="H39" s="205">
        <v>178400</v>
      </c>
      <c r="I39" s="246">
        <v>20000</v>
      </c>
      <c r="J39" s="207">
        <f>H39-I39-N39</f>
        <v>153400</v>
      </c>
      <c r="K39" s="208">
        <v>6600</v>
      </c>
      <c r="L39" s="19" t="s">
        <v>53</v>
      </c>
      <c r="M39" s="209">
        <v>45567</v>
      </c>
      <c r="N39" s="311">
        <v>5000</v>
      </c>
    </row>
    <row r="40" spans="1:80">
      <c r="A40" s="19">
        <v>7</v>
      </c>
      <c r="B40" s="309" t="s">
        <v>206</v>
      </c>
      <c r="C40" s="203">
        <v>45621</v>
      </c>
      <c r="D40" t="s">
        <v>207</v>
      </c>
      <c r="E40" s="19">
        <v>100</v>
      </c>
      <c r="F40" s="19">
        <v>42</v>
      </c>
      <c r="G40" s="19">
        <v>9810921515</v>
      </c>
      <c r="H40" s="205">
        <v>164180</v>
      </c>
      <c r="I40" s="310">
        <v>20000</v>
      </c>
      <c r="J40" s="207">
        <f>H40-I40-N40-P40-R40-T40-V40-X40-Z40-AB40-AD40-AF40-AH40</f>
        <v>0</v>
      </c>
      <c r="K40" s="208">
        <v>12015</v>
      </c>
      <c r="L40" s="19" t="s">
        <v>66</v>
      </c>
      <c r="M40" s="209">
        <v>45657</v>
      </c>
      <c r="N40" s="311">
        <v>12015</v>
      </c>
      <c r="O40" s="209">
        <v>45687</v>
      </c>
      <c r="P40" s="311">
        <v>12015</v>
      </c>
      <c r="Q40" s="209">
        <v>45716</v>
      </c>
      <c r="R40" s="311">
        <v>12015</v>
      </c>
      <c r="S40" s="209">
        <v>45747</v>
      </c>
      <c r="T40" s="346">
        <v>12000</v>
      </c>
      <c r="U40" s="242">
        <v>45776</v>
      </c>
      <c r="V40" s="346">
        <v>12000</v>
      </c>
      <c r="W40" s="209">
        <v>45810</v>
      </c>
      <c r="X40" s="311">
        <v>12000</v>
      </c>
      <c r="Y40" s="234">
        <v>45838</v>
      </c>
      <c r="Z40" s="312">
        <v>12015</v>
      </c>
      <c r="AA40" s="244">
        <v>45866</v>
      </c>
      <c r="AB40" s="312">
        <v>12000</v>
      </c>
      <c r="AC40" s="244">
        <v>45901</v>
      </c>
      <c r="AD40" s="312">
        <v>12000</v>
      </c>
      <c r="AE40" s="244">
        <v>45927</v>
      </c>
      <c r="AF40" s="312">
        <v>12015</v>
      </c>
      <c r="AG40" s="244">
        <v>45964</v>
      </c>
      <c r="AH40" s="312">
        <v>24105</v>
      </c>
      <c r="AI40" s="228" t="s">
        <v>17</v>
      </c>
      <c r="AJ40" s="229">
        <v>750</v>
      </c>
    </row>
    <row r="41" spans="1:80">
      <c r="A41" s="19">
        <v>10</v>
      </c>
      <c r="B41" s="267" t="s">
        <v>33</v>
      </c>
      <c r="C41" s="203">
        <v>44075</v>
      </c>
      <c r="D41" s="249" t="s">
        <v>208</v>
      </c>
      <c r="E41" s="19">
        <v>100</v>
      </c>
      <c r="F41" s="19">
        <v>11</v>
      </c>
      <c r="G41" s="19">
        <v>9066165836</v>
      </c>
      <c r="H41" s="205">
        <v>120000</v>
      </c>
      <c r="I41" s="268">
        <v>5000</v>
      </c>
      <c r="J41" s="207">
        <f>SUM(H41-I41-N41-P41)</f>
        <v>0</v>
      </c>
      <c r="K41" s="208" t="s">
        <v>15</v>
      </c>
      <c r="L41" s="19" t="s">
        <v>16</v>
      </c>
      <c r="M41" s="209">
        <v>44105</v>
      </c>
      <c r="N41" s="269">
        <v>100000</v>
      </c>
      <c r="O41" s="209">
        <v>44181</v>
      </c>
      <c r="P41" s="269">
        <v>15000</v>
      </c>
    </row>
    <row r="42" spans="1:80">
      <c r="A42" s="19">
        <v>10</v>
      </c>
      <c r="B42" s="347" t="s">
        <v>209</v>
      </c>
      <c r="C42" s="203">
        <v>44103</v>
      </c>
      <c r="D42" s="249" t="s">
        <v>210</v>
      </c>
      <c r="E42" s="3" t="s">
        <v>154</v>
      </c>
      <c r="F42" s="262" t="s">
        <v>211</v>
      </c>
      <c r="G42" s="19">
        <v>9166882024</v>
      </c>
      <c r="H42" s="205">
        <v>191000</v>
      </c>
      <c r="I42" s="348">
        <v>30000</v>
      </c>
      <c r="J42" s="207">
        <f>SUM(H42-I42-N42-P42-R42-T42-V42)</f>
        <v>0</v>
      </c>
      <c r="K42" s="208" t="s">
        <v>15</v>
      </c>
      <c r="L42" s="19" t="s">
        <v>141</v>
      </c>
      <c r="M42" s="209">
        <v>44162</v>
      </c>
      <c r="N42" s="349">
        <v>50000</v>
      </c>
      <c r="O42" s="209">
        <v>44169</v>
      </c>
      <c r="P42" s="349">
        <v>30000</v>
      </c>
      <c r="Q42" s="209">
        <v>44203</v>
      </c>
      <c r="R42" s="349">
        <v>30000</v>
      </c>
      <c r="S42" s="209">
        <v>44243</v>
      </c>
      <c r="T42" s="349">
        <v>30000</v>
      </c>
      <c r="U42" s="242">
        <v>44261</v>
      </c>
      <c r="V42" s="350">
        <v>21000</v>
      </c>
    </row>
    <row r="43" spans="1:80">
      <c r="A43" s="19">
        <v>7</v>
      </c>
      <c r="B43" s="258" t="s">
        <v>20</v>
      </c>
      <c r="C43" s="203">
        <v>45545</v>
      </c>
      <c r="D43" s="249" t="s">
        <v>212</v>
      </c>
      <c r="E43" s="3">
        <v>200</v>
      </c>
      <c r="F43" s="262">
        <v>58</v>
      </c>
      <c r="G43" s="19">
        <v>9155460592</v>
      </c>
      <c r="H43" s="205">
        <v>314270</v>
      </c>
      <c r="I43" s="259">
        <v>50000</v>
      </c>
      <c r="J43" s="207">
        <f>H43-I43-N43-P43-R43-T43-V43-X43-Z43-AB43</f>
        <v>0</v>
      </c>
      <c r="K43" s="208"/>
      <c r="L43" s="19" t="s">
        <v>691</v>
      </c>
      <c r="M43" s="209">
        <v>45593</v>
      </c>
      <c r="N43" s="260">
        <v>20000</v>
      </c>
      <c r="O43" s="209">
        <v>45623</v>
      </c>
      <c r="P43" s="260">
        <v>10000</v>
      </c>
      <c r="Q43" s="209">
        <v>45659</v>
      </c>
      <c r="R43" s="260">
        <v>20000</v>
      </c>
      <c r="S43" s="209">
        <v>45685</v>
      </c>
      <c r="T43" s="260">
        <v>50000</v>
      </c>
      <c r="U43" s="242">
        <v>45724</v>
      </c>
      <c r="V43" s="351">
        <v>20000</v>
      </c>
      <c r="W43" s="209">
        <v>45770</v>
      </c>
      <c r="X43" s="260">
        <v>10000</v>
      </c>
      <c r="Y43" s="234">
        <v>45859</v>
      </c>
      <c r="Z43" s="657">
        <v>10000</v>
      </c>
      <c r="AA43" s="244">
        <v>46028</v>
      </c>
      <c r="AB43" s="657">
        <v>124270</v>
      </c>
    </row>
    <row r="44" spans="1:80">
      <c r="A44" s="19">
        <v>10</v>
      </c>
      <c r="B44" s="352" t="s">
        <v>213</v>
      </c>
      <c r="C44" s="203">
        <v>44266</v>
      </c>
      <c r="D44" s="239" t="s">
        <v>214</v>
      </c>
      <c r="E44" s="19">
        <v>200</v>
      </c>
      <c r="F44" s="19">
        <v>3</v>
      </c>
      <c r="G44" s="19">
        <v>9525139717</v>
      </c>
      <c r="H44" s="353">
        <v>327600</v>
      </c>
      <c r="I44" s="354">
        <v>30000</v>
      </c>
      <c r="J44" s="207">
        <f>H44-I44-N44-P44-R44-T44-V44-X44-Z44-AB44-AD44-AF44-AH44-AJ44-AL44-AN44-AR44-AT44-AV44-AX44-AZ44-AP44-BB44-BD44-BF44</f>
        <v>67000</v>
      </c>
      <c r="K44" s="208">
        <v>10800</v>
      </c>
      <c r="L44" s="19" t="s">
        <v>170</v>
      </c>
      <c r="M44" s="355">
        <v>44296</v>
      </c>
      <c r="N44" s="356">
        <v>10000</v>
      </c>
      <c r="O44" s="355">
        <v>44334</v>
      </c>
      <c r="P44" s="356">
        <v>10800</v>
      </c>
      <c r="Q44" s="355">
        <v>44364</v>
      </c>
      <c r="R44" s="356">
        <v>10800</v>
      </c>
      <c r="S44" s="355">
        <v>44397</v>
      </c>
      <c r="T44" s="356">
        <v>10800</v>
      </c>
      <c r="U44" s="357">
        <v>44425</v>
      </c>
      <c r="V44" s="358">
        <v>10800</v>
      </c>
      <c r="W44" s="209">
        <v>44457</v>
      </c>
      <c r="X44" s="356">
        <v>10800</v>
      </c>
      <c r="Y44" s="234">
        <v>44491</v>
      </c>
      <c r="Z44" s="359">
        <v>10800</v>
      </c>
      <c r="AA44" s="244">
        <v>44517</v>
      </c>
      <c r="AB44" s="359">
        <v>5400</v>
      </c>
      <c r="AC44" s="244">
        <v>44551</v>
      </c>
      <c r="AD44" s="359">
        <v>5400</v>
      </c>
      <c r="AE44" s="244">
        <v>44552</v>
      </c>
      <c r="AF44" s="359">
        <v>8000</v>
      </c>
      <c r="AG44" s="244">
        <v>44564</v>
      </c>
      <c r="AH44" s="360">
        <v>2800</v>
      </c>
      <c r="AI44" s="244">
        <v>44644</v>
      </c>
      <c r="AJ44" s="361">
        <v>10800</v>
      </c>
      <c r="AK44" s="244">
        <v>44678</v>
      </c>
      <c r="AL44" s="362">
        <v>10800</v>
      </c>
      <c r="AM44" s="244">
        <v>44702</v>
      </c>
      <c r="AN44" s="362">
        <v>10800</v>
      </c>
      <c r="AO44" s="335">
        <v>44733</v>
      </c>
      <c r="AP44" s="362">
        <v>7000</v>
      </c>
      <c r="AQ44" s="244">
        <v>44743</v>
      </c>
      <c r="AR44" s="363">
        <v>3800</v>
      </c>
      <c r="AS44" s="244">
        <v>44762</v>
      </c>
      <c r="AT44" s="363">
        <v>7000</v>
      </c>
      <c r="AU44" s="244">
        <v>44788</v>
      </c>
      <c r="AV44" s="363">
        <v>10800</v>
      </c>
      <c r="AW44" s="244">
        <v>44825</v>
      </c>
      <c r="AX44" s="363">
        <v>10800</v>
      </c>
      <c r="AY44" s="244">
        <v>44936</v>
      </c>
      <c r="AZ44" s="364">
        <v>5400</v>
      </c>
      <c r="BA44" s="244">
        <v>45470</v>
      </c>
      <c r="BB44" s="363">
        <v>20000</v>
      </c>
      <c r="BC44" s="244">
        <v>45623</v>
      </c>
      <c r="BD44" s="365">
        <v>22000</v>
      </c>
      <c r="BE44" s="244">
        <v>45757</v>
      </c>
      <c r="BF44" s="365">
        <v>15000</v>
      </c>
    </row>
    <row r="45" spans="1:80">
      <c r="A45" s="19">
        <v>10</v>
      </c>
      <c r="B45" s="267" t="s">
        <v>33</v>
      </c>
      <c r="C45" s="203">
        <v>44105</v>
      </c>
      <c r="D45" t="s">
        <v>215</v>
      </c>
      <c r="E45" s="19">
        <v>200</v>
      </c>
      <c r="F45" s="19">
        <v>30</v>
      </c>
      <c r="G45" s="19">
        <v>9758124969</v>
      </c>
      <c r="H45" s="205">
        <v>300000</v>
      </c>
      <c r="I45" s="268">
        <v>25400</v>
      </c>
      <c r="J45" s="207">
        <f>SUM(H45-I45-N45-R45-T45-V45-X45-Z45-AB45-AD45-AF45-AH45-AJ45)</f>
        <v>122550</v>
      </c>
      <c r="K45" s="208">
        <v>8750</v>
      </c>
      <c r="L45" s="19" t="s">
        <v>30</v>
      </c>
      <c r="M45" s="37">
        <v>44107</v>
      </c>
      <c r="N45" s="366">
        <v>64600</v>
      </c>
      <c r="O45" s="253" t="s">
        <v>63</v>
      </c>
      <c r="P45" s="254">
        <v>500</v>
      </c>
      <c r="Q45" s="209">
        <v>44195</v>
      </c>
      <c r="R45" s="367">
        <v>8700</v>
      </c>
      <c r="S45" s="209">
        <v>44247</v>
      </c>
      <c r="T45" s="368">
        <v>8750</v>
      </c>
      <c r="U45" s="242">
        <v>44273</v>
      </c>
      <c r="V45" s="368">
        <v>8750</v>
      </c>
      <c r="W45" s="209">
        <v>44334</v>
      </c>
      <c r="X45" s="367">
        <v>8750</v>
      </c>
      <c r="Y45" s="234">
        <v>44365</v>
      </c>
      <c r="Z45" s="368">
        <v>8750</v>
      </c>
      <c r="AA45" s="244">
        <v>44398</v>
      </c>
      <c r="AB45" s="368">
        <v>8750</v>
      </c>
      <c r="AC45" s="244">
        <v>44467</v>
      </c>
      <c r="AD45" s="369">
        <v>8750</v>
      </c>
      <c r="AE45" s="244">
        <v>44525</v>
      </c>
      <c r="AF45" s="370">
        <v>8750</v>
      </c>
      <c r="AG45" s="244">
        <v>45013</v>
      </c>
      <c r="AH45" s="370">
        <v>17500</v>
      </c>
    </row>
    <row r="46" spans="1:80">
      <c r="A46" s="19">
        <v>10</v>
      </c>
      <c r="B46" s="305" t="s">
        <v>29</v>
      </c>
      <c r="C46" s="203" t="s">
        <v>216</v>
      </c>
      <c r="D46" s="371" t="s">
        <v>217</v>
      </c>
      <c r="E46" s="19">
        <v>200</v>
      </c>
      <c r="F46" s="19">
        <v>49</v>
      </c>
      <c r="H46" s="205">
        <v>299200</v>
      </c>
      <c r="I46" s="306">
        <v>5000</v>
      </c>
      <c r="J46" s="207">
        <f>H46-I46-N46-P46-R46-T46-V46-X46-Z46-AB46-AD46-AF46-AH46-AJ46-AL46-AN46-AR46-AT46-AV46-AX46-AZ46-BB46-BD46-BF46-BH46-BJ46-BL46-BN46-BP46-BT46-BV46-BX46-BZ46-CB46</f>
        <v>0</v>
      </c>
      <c r="K46" s="208">
        <v>10800</v>
      </c>
      <c r="L46" s="19" t="s">
        <v>53</v>
      </c>
      <c r="M46" s="209">
        <v>44081</v>
      </c>
      <c r="N46" s="307">
        <v>5000</v>
      </c>
      <c r="O46" s="372">
        <v>44099</v>
      </c>
      <c r="P46" s="307">
        <v>15000</v>
      </c>
      <c r="Q46" s="372">
        <v>44188</v>
      </c>
      <c r="R46" s="307">
        <v>5400</v>
      </c>
      <c r="S46" s="372">
        <v>44188</v>
      </c>
      <c r="T46" s="373">
        <v>5400</v>
      </c>
      <c r="U46" s="242">
        <v>44188</v>
      </c>
      <c r="V46" s="373">
        <v>5400</v>
      </c>
      <c r="W46" s="372">
        <v>44337</v>
      </c>
      <c r="X46" s="307">
        <v>27000</v>
      </c>
      <c r="Y46" s="374">
        <v>44371</v>
      </c>
      <c r="Z46" s="373">
        <v>5400</v>
      </c>
      <c r="AA46" s="375">
        <v>44394</v>
      </c>
      <c r="AB46" s="373">
        <v>5400</v>
      </c>
      <c r="AC46" s="375">
        <v>44421</v>
      </c>
      <c r="AD46" s="373">
        <v>5400</v>
      </c>
      <c r="AE46" s="375">
        <v>44467</v>
      </c>
      <c r="AF46" s="308">
        <v>5400</v>
      </c>
      <c r="AG46" s="375">
        <v>44522</v>
      </c>
      <c r="AH46" s="308">
        <v>10800</v>
      </c>
      <c r="AI46" s="244">
        <v>44548</v>
      </c>
      <c r="AJ46" s="308">
        <v>11000</v>
      </c>
      <c r="AK46" s="375">
        <v>44568</v>
      </c>
      <c r="AL46" s="308">
        <v>5400</v>
      </c>
      <c r="AM46" s="375">
        <v>44596</v>
      </c>
      <c r="AN46" s="308">
        <v>5400</v>
      </c>
      <c r="AO46" s="325" t="s">
        <v>26</v>
      </c>
      <c r="AP46" s="290">
        <v>500</v>
      </c>
      <c r="AQ46" s="244">
        <v>44597</v>
      </c>
      <c r="AR46" s="376">
        <v>5400</v>
      </c>
      <c r="AS46" s="375">
        <v>44630</v>
      </c>
      <c r="AT46" s="376">
        <v>5400</v>
      </c>
      <c r="AU46" s="375">
        <v>44645</v>
      </c>
      <c r="AV46" s="376">
        <v>5400</v>
      </c>
      <c r="AW46" s="375">
        <v>44678</v>
      </c>
      <c r="AX46" s="376">
        <v>5400</v>
      </c>
      <c r="AY46" s="375">
        <v>44678</v>
      </c>
      <c r="AZ46" s="376">
        <v>3000</v>
      </c>
      <c r="BA46" s="244">
        <v>44685</v>
      </c>
      <c r="BB46" s="376">
        <v>50000</v>
      </c>
      <c r="BC46" s="375">
        <v>44708</v>
      </c>
      <c r="BD46" s="376">
        <v>5400</v>
      </c>
      <c r="BE46" s="375">
        <v>44742</v>
      </c>
      <c r="BF46" s="376">
        <v>5400</v>
      </c>
      <c r="BG46" s="244">
        <v>44743</v>
      </c>
      <c r="BH46" s="376">
        <v>10800</v>
      </c>
      <c r="BI46" s="244">
        <v>44779</v>
      </c>
      <c r="BJ46" s="376">
        <v>5400</v>
      </c>
      <c r="BK46" s="244">
        <v>44818</v>
      </c>
      <c r="BL46" s="376">
        <v>5400</v>
      </c>
      <c r="BM46" s="244">
        <v>44842</v>
      </c>
      <c r="BN46" s="376">
        <v>10800</v>
      </c>
      <c r="BO46" s="244">
        <v>44870</v>
      </c>
      <c r="BP46" s="376">
        <v>15000</v>
      </c>
      <c r="BQ46" s="256" t="s">
        <v>17</v>
      </c>
      <c r="BR46" s="321">
        <v>1000</v>
      </c>
      <c r="BS46" s="244">
        <v>45153</v>
      </c>
      <c r="BT46" s="318">
        <v>5000</v>
      </c>
      <c r="BU46" s="244">
        <v>44188</v>
      </c>
      <c r="BV46" s="318">
        <v>4200</v>
      </c>
      <c r="BW46" s="244">
        <v>45287</v>
      </c>
      <c r="BX46" s="376">
        <v>20000</v>
      </c>
      <c r="BY46" s="244">
        <v>45507</v>
      </c>
      <c r="BZ46" s="376">
        <v>12800</v>
      </c>
      <c r="CB46" s="318">
        <v>2000</v>
      </c>
    </row>
    <row r="47" spans="1:80">
      <c r="A47" s="19">
        <v>10</v>
      </c>
      <c r="B47" s="19" t="s">
        <v>139</v>
      </c>
      <c r="C47" s="203">
        <v>44110</v>
      </c>
      <c r="D47" s="845" t="s">
        <v>218</v>
      </c>
      <c r="E47" s="19">
        <v>200</v>
      </c>
      <c r="F47" s="19">
        <v>27</v>
      </c>
      <c r="G47" s="19">
        <v>9484174558</v>
      </c>
      <c r="H47" s="220">
        <v>269440</v>
      </c>
      <c r="I47" s="221">
        <v>10000</v>
      </c>
      <c r="J47" s="207">
        <f>SUM(H47-I47-N47-R47-T47-V47-X47-Z47-AB47-AD47)</f>
        <v>0</v>
      </c>
      <c r="K47" s="208">
        <v>19120</v>
      </c>
      <c r="L47" s="19" t="s">
        <v>66</v>
      </c>
      <c r="M47" s="222">
        <v>44146</v>
      </c>
      <c r="N47" s="223">
        <v>30000</v>
      </c>
      <c r="O47" s="253" t="s">
        <v>63</v>
      </c>
      <c r="P47" s="254">
        <v>500</v>
      </c>
      <c r="Q47" s="222">
        <v>44207</v>
      </c>
      <c r="R47" s="223">
        <v>40000</v>
      </c>
      <c r="S47" s="222">
        <v>44273</v>
      </c>
      <c r="T47" s="224">
        <v>19120</v>
      </c>
      <c r="U47" s="222">
        <v>44273</v>
      </c>
      <c r="V47" s="224">
        <v>19120</v>
      </c>
      <c r="W47" s="222">
        <v>44347</v>
      </c>
      <c r="X47" s="223">
        <v>40000</v>
      </c>
      <c r="Y47" s="226">
        <v>44446</v>
      </c>
      <c r="Z47" s="227">
        <v>11200</v>
      </c>
      <c r="AA47" s="377">
        <v>44564</v>
      </c>
      <c r="AB47" s="378">
        <v>80000</v>
      </c>
      <c r="AC47" s="377">
        <v>44601</v>
      </c>
      <c r="AD47" s="378">
        <v>20000</v>
      </c>
      <c r="AE47" s="228" t="s">
        <v>17</v>
      </c>
      <c r="AF47" s="257">
        <v>1000</v>
      </c>
    </row>
    <row r="48" spans="1:80" s="795" customFormat="1">
      <c r="A48" s="781">
        <v>7</v>
      </c>
      <c r="B48" s="865" t="s">
        <v>493</v>
      </c>
      <c r="C48" s="832">
        <v>46161</v>
      </c>
      <c r="D48" s="864" t="s">
        <v>697</v>
      </c>
      <c r="E48" s="781">
        <v>150</v>
      </c>
      <c r="F48" s="781">
        <v>19</v>
      </c>
      <c r="G48" s="781">
        <v>9457338319</v>
      </c>
      <c r="H48" s="792">
        <v>225000</v>
      </c>
      <c r="I48" s="866">
        <v>30000</v>
      </c>
      <c r="J48" s="833">
        <f>H48-I48-N48-P48-R48</f>
        <v>0</v>
      </c>
      <c r="K48" s="834">
        <v>18023</v>
      </c>
      <c r="L48" s="899" t="s">
        <v>715</v>
      </c>
      <c r="M48" s="835">
        <v>46190</v>
      </c>
      <c r="N48" s="876">
        <v>120000</v>
      </c>
      <c r="O48" s="835">
        <v>46234</v>
      </c>
      <c r="P48" s="876">
        <v>38000</v>
      </c>
      <c r="Q48" s="835">
        <v>46261</v>
      </c>
      <c r="R48" s="876">
        <v>37000</v>
      </c>
      <c r="S48" s="835"/>
      <c r="T48" s="837"/>
      <c r="U48" s="835"/>
      <c r="V48" s="837"/>
      <c r="W48" s="835"/>
      <c r="X48" s="836"/>
      <c r="Y48" s="783"/>
      <c r="Z48" s="839"/>
      <c r="AA48" s="794"/>
      <c r="AB48" s="839"/>
      <c r="AC48" s="794"/>
      <c r="AD48" s="839"/>
      <c r="AF48" s="839"/>
      <c r="AH48" s="863"/>
      <c r="AJ48" s="863"/>
      <c r="AL48" s="863"/>
      <c r="AN48" s="863"/>
      <c r="AP48" s="863"/>
    </row>
    <row r="49" spans="1:64">
      <c r="A49" s="19">
        <v>10</v>
      </c>
      <c r="B49" s="381" t="s">
        <v>221</v>
      </c>
      <c r="C49" s="203">
        <v>44104</v>
      </c>
      <c r="D49" s="371" t="s">
        <v>222</v>
      </c>
      <c r="E49" s="19">
        <v>300</v>
      </c>
      <c r="F49" s="19">
        <v>21</v>
      </c>
      <c r="H49" s="205">
        <v>448800</v>
      </c>
      <c r="I49" s="206">
        <v>5000</v>
      </c>
      <c r="J49" s="207">
        <f>SUM(H49-I49-N49-P49-R49-T49-V49)</f>
        <v>268800</v>
      </c>
      <c r="K49" s="208">
        <v>16200</v>
      </c>
      <c r="L49" s="19" t="s">
        <v>30</v>
      </c>
      <c r="M49" s="209">
        <v>44110</v>
      </c>
      <c r="N49" s="210">
        <v>55000</v>
      </c>
      <c r="O49" s="209">
        <v>44182</v>
      </c>
      <c r="P49" s="210">
        <v>70000</v>
      </c>
      <c r="Q49" s="209">
        <v>44194</v>
      </c>
      <c r="R49" s="210">
        <v>20000</v>
      </c>
      <c r="S49" s="209">
        <v>44238</v>
      </c>
      <c r="T49" s="210">
        <v>20000</v>
      </c>
      <c r="U49" s="242">
        <v>44627</v>
      </c>
      <c r="V49" s="339">
        <v>10000</v>
      </c>
      <c r="BF49" s="318"/>
    </row>
    <row r="50" spans="1:64">
      <c r="A50" s="19">
        <v>10</v>
      </c>
      <c r="B50" s="382" t="s">
        <v>57</v>
      </c>
      <c r="C50" s="203">
        <v>44100</v>
      </c>
      <c r="D50" s="371" t="s">
        <v>223</v>
      </c>
      <c r="E50" s="19">
        <v>100</v>
      </c>
      <c r="F50" s="19">
        <v>39</v>
      </c>
      <c r="G50" s="19">
        <v>9664777708</v>
      </c>
      <c r="H50" s="205">
        <v>149600</v>
      </c>
      <c r="I50" s="348">
        <v>10000</v>
      </c>
      <c r="J50" s="207">
        <f>SUM(H50-I50-N50-P50-R50-T50-V50-X50-Z50-AB50-AD50-AF50-AH50-AJ50-AL50-AN50-AP50-AR50-AT50-AV50-AX50-AZ50-BB50-BD50)</f>
        <v>5200</v>
      </c>
      <c r="K50" s="208">
        <v>5400</v>
      </c>
      <c r="L50" s="19" t="s">
        <v>30</v>
      </c>
      <c r="M50" s="209">
        <v>44126</v>
      </c>
      <c r="N50" s="383">
        <v>5000</v>
      </c>
      <c r="O50" s="209">
        <v>44163</v>
      </c>
      <c r="P50" s="383">
        <v>5000</v>
      </c>
      <c r="Q50" s="209">
        <v>44207</v>
      </c>
      <c r="R50" s="383">
        <v>5400</v>
      </c>
      <c r="S50" s="209">
        <v>44235</v>
      </c>
      <c r="T50" s="383">
        <v>5400</v>
      </c>
      <c r="U50" s="242">
        <v>44263</v>
      </c>
      <c r="V50" s="383">
        <v>5400</v>
      </c>
      <c r="W50" s="209">
        <v>44303</v>
      </c>
      <c r="X50" s="383">
        <v>5400</v>
      </c>
      <c r="Y50" s="234">
        <v>44328</v>
      </c>
      <c r="Z50" s="383">
        <v>5400</v>
      </c>
      <c r="AA50" s="244">
        <v>44361</v>
      </c>
      <c r="AB50" s="383">
        <v>5400</v>
      </c>
      <c r="AC50" s="244">
        <v>44396</v>
      </c>
      <c r="AD50" s="383">
        <v>5400</v>
      </c>
      <c r="AE50" s="244">
        <v>44415</v>
      </c>
      <c r="AF50" s="383">
        <v>5400</v>
      </c>
      <c r="AG50" s="244">
        <v>44461</v>
      </c>
      <c r="AH50" s="383">
        <v>5400</v>
      </c>
      <c r="AI50" s="244">
        <v>44482</v>
      </c>
      <c r="AJ50" s="384">
        <v>5400</v>
      </c>
      <c r="AK50" s="244">
        <v>44518</v>
      </c>
      <c r="AL50" s="384">
        <v>5400</v>
      </c>
      <c r="AM50" s="244">
        <v>44544</v>
      </c>
      <c r="AN50" s="384">
        <v>5400</v>
      </c>
      <c r="AO50" s="244">
        <v>44582</v>
      </c>
      <c r="AP50" s="384">
        <v>5400</v>
      </c>
      <c r="AQ50" s="244">
        <v>44609</v>
      </c>
      <c r="AR50" s="385">
        <v>5400</v>
      </c>
      <c r="AS50" s="244">
        <v>44637</v>
      </c>
      <c r="AT50" s="385">
        <v>5400</v>
      </c>
      <c r="AU50" s="244">
        <v>44669</v>
      </c>
      <c r="AV50" s="385">
        <v>5400</v>
      </c>
      <c r="AW50" s="244">
        <v>44712</v>
      </c>
      <c r="AX50" s="386">
        <v>5400</v>
      </c>
      <c r="AY50" s="244">
        <v>44767</v>
      </c>
      <c r="AZ50" s="386">
        <v>10800</v>
      </c>
      <c r="BA50" s="244">
        <v>44823</v>
      </c>
      <c r="BB50" s="386">
        <v>10800</v>
      </c>
      <c r="BC50" s="244">
        <v>44891</v>
      </c>
      <c r="BD50" s="386">
        <v>11000</v>
      </c>
      <c r="BE50" s="244"/>
      <c r="BF50" s="318"/>
    </row>
    <row r="51" spans="1:64">
      <c r="A51" s="19">
        <v>5</v>
      </c>
      <c r="B51" s="387" t="s">
        <v>224</v>
      </c>
      <c r="C51" s="203">
        <v>44090</v>
      </c>
      <c r="D51" s="230" t="s">
        <v>225</v>
      </c>
      <c r="E51" s="19">
        <v>200</v>
      </c>
      <c r="F51" s="19">
        <v>50</v>
      </c>
      <c r="G51" s="19">
        <v>9156847561</v>
      </c>
      <c r="H51" s="388">
        <v>260000</v>
      </c>
      <c r="I51" s="214">
        <v>5000</v>
      </c>
      <c r="J51" s="207">
        <f>SUM(H51-I51-N51-P51-R51-T51-V51-X51-Z51-AB51-AD51-AF51)</f>
        <v>0</v>
      </c>
      <c r="K51" s="208">
        <v>20766</v>
      </c>
      <c r="L51" s="19" t="s">
        <v>159</v>
      </c>
      <c r="M51" s="389">
        <v>44120</v>
      </c>
      <c r="N51" s="390">
        <v>35000</v>
      </c>
      <c r="O51" s="389">
        <v>44152</v>
      </c>
      <c r="P51" s="390">
        <v>20000</v>
      </c>
      <c r="Q51" s="389">
        <v>44183</v>
      </c>
      <c r="R51" s="390">
        <v>20000</v>
      </c>
      <c r="S51" s="389">
        <v>44214</v>
      </c>
      <c r="T51" s="391">
        <v>20000</v>
      </c>
      <c r="U51" s="392">
        <v>44246</v>
      </c>
      <c r="V51" s="391">
        <v>20000</v>
      </c>
      <c r="W51" s="389">
        <v>44277</v>
      </c>
      <c r="X51" s="390">
        <v>20000</v>
      </c>
      <c r="Y51" s="393">
        <v>44312</v>
      </c>
      <c r="Z51" s="394">
        <v>20000</v>
      </c>
      <c r="AA51" s="395" t="s">
        <v>226</v>
      </c>
      <c r="AB51" s="394">
        <v>40000</v>
      </c>
      <c r="AC51" s="395">
        <v>44435</v>
      </c>
      <c r="AD51" s="396">
        <v>30000</v>
      </c>
      <c r="AE51" s="395">
        <v>44488</v>
      </c>
      <c r="AF51" s="396">
        <v>30000</v>
      </c>
      <c r="AG51" s="325" t="s">
        <v>17</v>
      </c>
      <c r="AH51" s="326">
        <v>1000</v>
      </c>
    </row>
    <row r="52" spans="1:64">
      <c r="A52" s="19">
        <v>10</v>
      </c>
      <c r="B52" s="397" t="s">
        <v>227</v>
      </c>
      <c r="C52" s="203">
        <v>44091</v>
      </c>
      <c r="D52" s="766" t="s">
        <v>665</v>
      </c>
      <c r="E52" s="19">
        <v>200</v>
      </c>
      <c r="F52" s="19">
        <v>5</v>
      </c>
      <c r="G52" s="19">
        <v>9452882668</v>
      </c>
      <c r="H52" s="205">
        <v>240000</v>
      </c>
      <c r="I52" s="398">
        <v>10000</v>
      </c>
      <c r="J52" s="207">
        <f>SUM(H52-I52-N52-P52)</f>
        <v>0</v>
      </c>
      <c r="K52" s="208" t="s">
        <v>15</v>
      </c>
      <c r="L52" s="215">
        <v>44136</v>
      </c>
      <c r="M52" s="209">
        <v>44124</v>
      </c>
      <c r="N52" s="330">
        <v>170000</v>
      </c>
      <c r="O52" s="209">
        <v>44161</v>
      </c>
      <c r="P52" s="330">
        <v>60000</v>
      </c>
      <c r="Q52" s="253" t="s">
        <v>17</v>
      </c>
      <c r="R52" s="254">
        <v>500</v>
      </c>
    </row>
    <row r="53" spans="1:64">
      <c r="A53" s="19">
        <v>7</v>
      </c>
      <c r="B53" s="258" t="s">
        <v>20</v>
      </c>
      <c r="C53" s="203">
        <v>45583</v>
      </c>
      <c r="D53" s="371" t="s">
        <v>228</v>
      </c>
      <c r="E53" s="19">
        <v>100</v>
      </c>
      <c r="F53" s="19">
        <v>14</v>
      </c>
      <c r="H53" s="205">
        <v>145000</v>
      </c>
      <c r="I53" s="380">
        <v>145000</v>
      </c>
      <c r="J53" s="207">
        <f>H53-I53</f>
        <v>0</v>
      </c>
      <c r="K53" s="208"/>
      <c r="L53" s="215" t="s">
        <v>16</v>
      </c>
      <c r="M53" s="209"/>
      <c r="N53" s="216"/>
      <c r="O53" s="209"/>
      <c r="P53" s="216"/>
    </row>
    <row r="54" spans="1:64">
      <c r="A54" s="19" t="s">
        <v>177</v>
      </c>
      <c r="B54" s="399" t="s">
        <v>132</v>
      </c>
      <c r="C54" s="203">
        <v>44091</v>
      </c>
      <c r="D54" t="s">
        <v>229</v>
      </c>
      <c r="E54" s="19">
        <v>100</v>
      </c>
      <c r="F54" s="19">
        <v>44</v>
      </c>
      <c r="G54" s="19">
        <v>9530923168</v>
      </c>
      <c r="H54" s="205">
        <v>159600</v>
      </c>
      <c r="I54" s="400">
        <v>7000</v>
      </c>
      <c r="J54" s="207">
        <f>SUM(H54-I54-N54-P54-R54-T54-V54-X54-Z54-AB54-AD54-AF54-AH54-AJ54)</f>
        <v>0</v>
      </c>
      <c r="K54" s="208">
        <v>5400</v>
      </c>
      <c r="L54" s="19" t="s">
        <v>30</v>
      </c>
      <c r="M54" s="209">
        <v>44111</v>
      </c>
      <c r="N54" s="401">
        <v>13000</v>
      </c>
      <c r="O54" s="209">
        <v>44138</v>
      </c>
      <c r="P54" s="401">
        <v>9560</v>
      </c>
      <c r="Q54" s="209">
        <v>44235</v>
      </c>
      <c r="R54" s="401">
        <v>9560</v>
      </c>
      <c r="S54" s="209">
        <v>44503</v>
      </c>
      <c r="T54" s="402">
        <v>20000</v>
      </c>
      <c r="U54" s="242">
        <v>44559</v>
      </c>
      <c r="V54" s="402">
        <v>10000</v>
      </c>
      <c r="W54" s="209">
        <v>44939</v>
      </c>
      <c r="X54" s="304">
        <v>20000</v>
      </c>
      <c r="Y54" s="234">
        <v>45038</v>
      </c>
      <c r="Z54" s="403">
        <v>10000</v>
      </c>
      <c r="AA54" s="244">
        <v>45113</v>
      </c>
      <c r="AB54" s="403">
        <v>10000</v>
      </c>
      <c r="AC54" s="244">
        <v>45198</v>
      </c>
      <c r="AD54" s="403">
        <v>10000</v>
      </c>
      <c r="AE54" s="244">
        <v>45321</v>
      </c>
      <c r="AF54" s="403">
        <v>10000</v>
      </c>
      <c r="AG54" s="244">
        <v>45478</v>
      </c>
      <c r="AH54" s="403">
        <v>18500</v>
      </c>
      <c r="AI54" s="244">
        <v>45507</v>
      </c>
      <c r="AJ54" s="404">
        <v>11980</v>
      </c>
      <c r="AK54" s="228" t="s">
        <v>17</v>
      </c>
      <c r="AL54" s="229">
        <v>500</v>
      </c>
    </row>
    <row r="55" spans="1:64">
      <c r="A55" s="19">
        <v>10</v>
      </c>
      <c r="B55" s="405" t="s">
        <v>230</v>
      </c>
      <c r="C55" s="203">
        <v>44230</v>
      </c>
      <c r="D55" s="204" t="s">
        <v>231</v>
      </c>
      <c r="E55" s="19">
        <v>200</v>
      </c>
      <c r="F55" s="19">
        <v>32</v>
      </c>
      <c r="G55" s="19">
        <v>9776114650</v>
      </c>
      <c r="H55" s="205">
        <v>299200</v>
      </c>
      <c r="I55" s="406">
        <v>5000</v>
      </c>
      <c r="J55" s="207">
        <f>SUM(H55-I55-N55-R55-T55-V55-X55-Z55-AB55)</f>
        <v>0</v>
      </c>
      <c r="K55" s="208">
        <v>10800</v>
      </c>
      <c r="L55" s="19" t="s">
        <v>30</v>
      </c>
      <c r="M55" s="209">
        <v>44231</v>
      </c>
      <c r="N55" s="407">
        <v>35000</v>
      </c>
      <c r="O55" s="253" t="s">
        <v>26</v>
      </c>
      <c r="P55" s="254">
        <v>500</v>
      </c>
      <c r="Q55" s="209">
        <v>44284</v>
      </c>
      <c r="R55" s="407">
        <v>21600</v>
      </c>
      <c r="S55" s="209">
        <v>44312</v>
      </c>
      <c r="T55" s="408">
        <v>43200</v>
      </c>
      <c r="U55" s="242">
        <v>44391</v>
      </c>
      <c r="V55" s="409">
        <v>32500</v>
      </c>
      <c r="W55" s="209">
        <v>44460</v>
      </c>
      <c r="X55" s="407">
        <v>50000</v>
      </c>
      <c r="Y55" s="234">
        <v>44518</v>
      </c>
      <c r="Z55" s="410">
        <v>50000</v>
      </c>
      <c r="AA55" s="244">
        <v>44592</v>
      </c>
      <c r="AB55" s="410">
        <v>61900</v>
      </c>
      <c r="AC55" s="325" t="s">
        <v>17</v>
      </c>
      <c r="AD55" s="326">
        <v>1000</v>
      </c>
      <c r="AE55" s="411" t="s">
        <v>232</v>
      </c>
      <c r="AF55" s="412">
        <v>15000</v>
      </c>
    </row>
    <row r="56" spans="1:64">
      <c r="A56" s="19">
        <v>7</v>
      </c>
      <c r="B56" s="302" t="s">
        <v>233</v>
      </c>
      <c r="C56" s="203">
        <v>45463</v>
      </c>
      <c r="D56" t="s">
        <v>234</v>
      </c>
      <c r="E56" s="19">
        <v>200</v>
      </c>
      <c r="F56" s="19">
        <v>29</v>
      </c>
      <c r="G56" s="19">
        <v>9554494521</v>
      </c>
      <c r="H56" s="413">
        <v>472000</v>
      </c>
      <c r="I56" s="303">
        <v>10000</v>
      </c>
      <c r="J56" s="207">
        <f>H56-I56-N56-P56-R56</f>
        <v>406000</v>
      </c>
      <c r="K56" s="208">
        <v>6000</v>
      </c>
      <c r="L56" s="19" t="s">
        <v>175</v>
      </c>
      <c r="M56" s="414">
        <v>45465</v>
      </c>
      <c r="N56" s="304">
        <v>30000</v>
      </c>
      <c r="O56" s="415">
        <v>45562</v>
      </c>
      <c r="P56" s="304">
        <v>25000</v>
      </c>
      <c r="Q56" s="209">
        <v>46225</v>
      </c>
      <c r="R56" s="216">
        <v>1000</v>
      </c>
      <c r="S56" s="209"/>
      <c r="T56" s="241"/>
      <c r="U56" s="242"/>
      <c r="V56" s="241"/>
      <c r="W56" s="209"/>
      <c r="X56" s="216"/>
      <c r="Y56" s="234"/>
      <c r="Z56" s="243"/>
      <c r="AA56" s="244"/>
      <c r="AB56" s="243"/>
      <c r="AD56" s="243"/>
    </row>
    <row r="57" spans="1:64">
      <c r="C57" s="203">
        <v>45465</v>
      </c>
      <c r="D57" t="s">
        <v>234</v>
      </c>
      <c r="E57" s="19">
        <v>200</v>
      </c>
      <c r="F57" s="19">
        <v>28</v>
      </c>
      <c r="G57" s="19">
        <v>9554494521</v>
      </c>
      <c r="H57" s="205">
        <v>472000</v>
      </c>
      <c r="I57" s="380">
        <v>5000</v>
      </c>
      <c r="J57" s="207">
        <f>H57-I57-N57-P57</f>
        <v>456000</v>
      </c>
      <c r="K57" s="208">
        <v>6000</v>
      </c>
      <c r="L57" s="19" t="s">
        <v>175</v>
      </c>
      <c r="M57" s="209">
        <v>45463</v>
      </c>
      <c r="N57" s="216">
        <v>10000</v>
      </c>
      <c r="O57" s="209">
        <v>46225</v>
      </c>
      <c r="P57" s="216">
        <v>1000</v>
      </c>
      <c r="Q57" s="209"/>
      <c r="R57" s="216"/>
      <c r="S57" s="209"/>
      <c r="T57" s="241"/>
      <c r="U57" s="242"/>
      <c r="V57" s="241"/>
      <c r="W57" s="209"/>
      <c r="X57" s="216"/>
      <c r="Y57" s="234"/>
      <c r="Z57" s="243"/>
      <c r="AA57" s="244"/>
      <c r="AB57" s="243"/>
      <c r="AD57" s="243"/>
    </row>
    <row r="58" spans="1:64">
      <c r="A58" s="19" t="s">
        <v>24</v>
      </c>
      <c r="B58" s="238" t="s">
        <v>25</v>
      </c>
      <c r="C58" s="203">
        <v>44095</v>
      </c>
      <c r="D58" s="239" t="s">
        <v>235</v>
      </c>
      <c r="E58" s="19">
        <v>400</v>
      </c>
      <c r="F58" s="19">
        <v>25</v>
      </c>
      <c r="G58" s="19">
        <v>9676410329</v>
      </c>
      <c r="H58" s="205">
        <v>598400</v>
      </c>
      <c r="I58" s="240">
        <v>20000</v>
      </c>
      <c r="J58" s="207">
        <f>SUM(H58-I58-N58-P58-R58-T58-V58-X58-Z58-AB58-AD58-AF58-AH58-AJ58-AL58-AN58-AP58-AR58-AT58-AV58-AX58-AZ58-BB58-BD58-BF58-BH58-BJ58)</f>
        <v>0</v>
      </c>
      <c r="K58" s="208">
        <v>21600</v>
      </c>
      <c r="L58" s="19" t="s">
        <v>53</v>
      </c>
      <c r="M58" s="209">
        <v>44110</v>
      </c>
      <c r="N58" s="216">
        <v>60000</v>
      </c>
      <c r="O58" s="209">
        <v>44159</v>
      </c>
      <c r="P58" s="216">
        <v>21600</v>
      </c>
      <c r="Q58" s="209">
        <v>44186</v>
      </c>
      <c r="R58" s="216">
        <v>21600</v>
      </c>
      <c r="S58" s="209">
        <v>44205</v>
      </c>
      <c r="T58" s="241">
        <v>21600</v>
      </c>
      <c r="U58" s="242">
        <v>44249</v>
      </c>
      <c r="V58" s="241">
        <v>21600</v>
      </c>
      <c r="W58" s="209">
        <v>44291</v>
      </c>
      <c r="X58" s="216">
        <v>21600</v>
      </c>
      <c r="Y58" s="234">
        <v>44333</v>
      </c>
      <c r="Z58" s="243">
        <v>21600</v>
      </c>
      <c r="AA58" s="244">
        <v>44391</v>
      </c>
      <c r="AB58" s="243">
        <v>21600</v>
      </c>
      <c r="AC58" s="244">
        <v>44439</v>
      </c>
      <c r="AD58" s="243">
        <v>21600</v>
      </c>
      <c r="AE58" s="244">
        <v>44469</v>
      </c>
      <c r="AF58" s="243">
        <v>21600</v>
      </c>
      <c r="AG58" s="244">
        <v>44531</v>
      </c>
      <c r="AH58" s="243">
        <v>21600</v>
      </c>
      <c r="AI58" s="244">
        <v>44574</v>
      </c>
      <c r="AJ58" s="243">
        <v>21600</v>
      </c>
      <c r="AK58" s="244">
        <v>44601</v>
      </c>
      <c r="AL58" s="243">
        <v>21600</v>
      </c>
      <c r="AM58" s="244">
        <v>44630</v>
      </c>
      <c r="AN58" s="243">
        <v>21600</v>
      </c>
      <c r="AO58" s="244">
        <v>44664</v>
      </c>
      <c r="AP58" s="243">
        <v>21600</v>
      </c>
      <c r="AQ58" s="244">
        <v>44691</v>
      </c>
      <c r="AR58" s="318">
        <v>21600</v>
      </c>
      <c r="AS58" s="244">
        <v>44719</v>
      </c>
      <c r="AT58" s="318">
        <v>21600</v>
      </c>
      <c r="AU58" s="244">
        <v>44763</v>
      </c>
      <c r="AV58" s="318">
        <v>21600</v>
      </c>
      <c r="AW58" s="244">
        <v>44804</v>
      </c>
      <c r="AX58" s="318">
        <v>21600</v>
      </c>
      <c r="AY58" s="244">
        <v>44909</v>
      </c>
      <c r="AZ58" s="318">
        <v>21600</v>
      </c>
      <c r="BA58" s="244">
        <v>44929</v>
      </c>
      <c r="BB58" s="318">
        <v>21600</v>
      </c>
      <c r="BC58" s="244">
        <v>44977</v>
      </c>
      <c r="BD58" s="318">
        <v>21600</v>
      </c>
      <c r="BE58" s="244">
        <v>45015</v>
      </c>
      <c r="BF58" s="416">
        <v>21600</v>
      </c>
      <c r="BG58" s="244">
        <v>45048</v>
      </c>
      <c r="BH58" s="318">
        <v>21600</v>
      </c>
      <c r="BI58" s="244">
        <v>45108</v>
      </c>
      <c r="BJ58" s="318">
        <v>21600</v>
      </c>
      <c r="BK58" s="417" t="s">
        <v>17</v>
      </c>
      <c r="BL58" s="321">
        <v>2000</v>
      </c>
    </row>
    <row r="59" spans="1:64">
      <c r="A59" s="19">
        <v>10</v>
      </c>
      <c r="B59" s="418" t="s">
        <v>236</v>
      </c>
      <c r="C59" s="203">
        <v>44302</v>
      </c>
      <c r="D59" s="249" t="s">
        <v>237</v>
      </c>
      <c r="E59" s="19">
        <v>200</v>
      </c>
      <c r="F59" s="19">
        <v>34</v>
      </c>
      <c r="G59" s="19">
        <v>9166269006</v>
      </c>
      <c r="H59" s="205">
        <v>269440</v>
      </c>
      <c r="I59" s="419">
        <v>10000</v>
      </c>
      <c r="J59" s="207">
        <f>SUM(H59-I59-N59-P59-R59-T59-V59-X59-Z59-AB59-AD59-AF59-AH59-AJ59-AL59-AN59-AP59)</f>
        <v>0</v>
      </c>
      <c r="K59" s="208">
        <v>10800</v>
      </c>
      <c r="L59" s="19" t="s">
        <v>66</v>
      </c>
      <c r="M59" s="209">
        <v>44349</v>
      </c>
      <c r="N59" s="420">
        <v>30000</v>
      </c>
      <c r="O59" s="209">
        <v>44382</v>
      </c>
      <c r="P59" s="420">
        <v>10800</v>
      </c>
      <c r="Q59" s="209">
        <v>44410</v>
      </c>
      <c r="R59" s="420">
        <v>10800</v>
      </c>
      <c r="S59" s="209">
        <v>44449</v>
      </c>
      <c r="T59" s="420">
        <v>10800</v>
      </c>
      <c r="U59" s="242">
        <v>44482</v>
      </c>
      <c r="V59" s="421">
        <v>10800</v>
      </c>
      <c r="W59" s="209">
        <v>44519</v>
      </c>
      <c r="X59" s="420">
        <v>10800</v>
      </c>
      <c r="Y59" s="234">
        <v>44546</v>
      </c>
      <c r="Z59" s="422">
        <v>10800</v>
      </c>
      <c r="AA59" s="244">
        <v>44585</v>
      </c>
      <c r="AB59" s="422">
        <v>10800</v>
      </c>
      <c r="AC59" s="244">
        <v>44607</v>
      </c>
      <c r="AD59" s="422">
        <v>10800</v>
      </c>
      <c r="AE59" s="244">
        <v>44637</v>
      </c>
      <c r="AF59" s="422">
        <v>10800</v>
      </c>
      <c r="AG59" s="244">
        <v>44679</v>
      </c>
      <c r="AH59" s="422">
        <v>10800</v>
      </c>
      <c r="AI59" s="244">
        <v>44707</v>
      </c>
      <c r="AJ59" s="422">
        <v>10800</v>
      </c>
      <c r="AK59" s="244">
        <v>44743</v>
      </c>
      <c r="AL59" s="422">
        <v>8000</v>
      </c>
      <c r="AM59" s="244">
        <v>44770</v>
      </c>
      <c r="AN59" s="422">
        <v>13600</v>
      </c>
      <c r="AO59" s="244">
        <v>44775</v>
      </c>
      <c r="AP59" s="422">
        <v>89040</v>
      </c>
      <c r="AQ59" s="325" t="s">
        <v>17</v>
      </c>
      <c r="AR59" s="284">
        <v>1500</v>
      </c>
    </row>
    <row r="60" spans="1:64">
      <c r="H60" s="423">
        <f ca="1">SUM(H2:H89)</f>
        <v>15258666</v>
      </c>
      <c r="I60" s="424">
        <f ca="1">SUM(I2:I89)</f>
        <v>1243060</v>
      </c>
      <c r="J60" s="425">
        <f ca="1">SUM(J2:J89)</f>
        <v>3835356</v>
      </c>
    </row>
    <row r="63" spans="1:64">
      <c r="C63" s="908" t="s">
        <v>117</v>
      </c>
      <c r="D63" s="908"/>
    </row>
    <row r="64" spans="1:64">
      <c r="A64" s="19">
        <v>10</v>
      </c>
      <c r="B64" s="267" t="s">
        <v>33</v>
      </c>
      <c r="C64" s="203">
        <v>44105</v>
      </c>
      <c r="D64" t="s">
        <v>215</v>
      </c>
      <c r="E64" s="19">
        <v>127</v>
      </c>
      <c r="F64" s="19">
        <v>48</v>
      </c>
      <c r="G64" s="19">
        <v>9758124969</v>
      </c>
      <c r="H64" s="205">
        <v>189992</v>
      </c>
      <c r="I64" s="268">
        <v>25400</v>
      </c>
      <c r="J64" s="207"/>
      <c r="K64" s="208">
        <v>6858</v>
      </c>
      <c r="L64" s="19" t="s">
        <v>30</v>
      </c>
      <c r="M64" s="217" t="s">
        <v>26</v>
      </c>
      <c r="N64" s="218">
        <v>500</v>
      </c>
      <c r="O64" s="909" t="s">
        <v>238</v>
      </c>
      <c r="P64" s="909"/>
    </row>
    <row r="65" spans="1:62">
      <c r="A65" s="19">
        <v>10</v>
      </c>
      <c r="B65" s="429" t="s">
        <v>239</v>
      </c>
      <c r="C65" s="203">
        <v>44096</v>
      </c>
      <c r="D65" s="379" t="s">
        <v>240</v>
      </c>
      <c r="E65" s="19">
        <v>182</v>
      </c>
      <c r="F65" s="19">
        <v>68</v>
      </c>
      <c r="G65" s="19">
        <v>9067496390</v>
      </c>
      <c r="H65" s="205">
        <v>272272</v>
      </c>
      <c r="I65" s="380">
        <v>5000</v>
      </c>
      <c r="J65" s="207"/>
      <c r="K65" s="208">
        <v>9828</v>
      </c>
      <c r="L65" s="19" t="s">
        <v>30</v>
      </c>
      <c r="M65" s="209">
        <v>44126</v>
      </c>
      <c r="N65" s="216">
        <v>3000</v>
      </c>
      <c r="O65" s="209">
        <v>44168</v>
      </c>
      <c r="P65" s="216">
        <v>7000</v>
      </c>
      <c r="Q65" s="909" t="s">
        <v>241</v>
      </c>
      <c r="R65" s="909"/>
    </row>
    <row r="66" spans="1:62">
      <c r="A66" s="19">
        <v>10</v>
      </c>
      <c r="B66" s="258" t="s">
        <v>20</v>
      </c>
      <c r="C66" s="203">
        <v>44056</v>
      </c>
      <c r="D66" t="s">
        <v>242</v>
      </c>
      <c r="E66" s="19">
        <v>200</v>
      </c>
      <c r="F66" s="19">
        <v>4</v>
      </c>
      <c r="G66" s="19">
        <v>9360956510</v>
      </c>
      <c r="H66" s="205">
        <v>134720</v>
      </c>
      <c r="I66" s="259">
        <v>5000</v>
      </c>
      <c r="J66" s="207">
        <f>SUM(H66-I66-N66-P66-R66)</f>
        <v>94720</v>
      </c>
      <c r="K66" s="208">
        <v>9560</v>
      </c>
      <c r="L66" s="19" t="s">
        <v>66</v>
      </c>
      <c r="M66" s="209">
        <v>44057</v>
      </c>
      <c r="N66" s="260">
        <v>5000</v>
      </c>
      <c r="O66" s="209">
        <v>44145</v>
      </c>
      <c r="P66" s="260">
        <v>15000</v>
      </c>
      <c r="Q66" s="209">
        <v>44148</v>
      </c>
      <c r="R66" s="260">
        <v>15000</v>
      </c>
      <c r="S66" s="909" t="s">
        <v>243</v>
      </c>
      <c r="T66" s="909"/>
    </row>
    <row r="67" spans="1:62">
      <c r="A67" s="19">
        <v>10</v>
      </c>
      <c r="B67" s="258" t="s">
        <v>20</v>
      </c>
      <c r="C67" s="203">
        <v>44057</v>
      </c>
      <c r="D67" t="s">
        <v>244</v>
      </c>
      <c r="E67" s="19">
        <v>200</v>
      </c>
      <c r="F67" s="19">
        <v>4</v>
      </c>
      <c r="G67" s="19">
        <v>9057195730</v>
      </c>
      <c r="H67" s="205">
        <v>235000</v>
      </c>
      <c r="I67" s="259">
        <v>10000</v>
      </c>
      <c r="J67" s="207">
        <f>SUM(H67-I67-N67-P67-R67-T67)</f>
        <v>220000</v>
      </c>
      <c r="K67" s="208">
        <v>10800</v>
      </c>
      <c r="L67" s="19" t="s">
        <v>30</v>
      </c>
      <c r="M67" s="209">
        <v>44147</v>
      </c>
      <c r="N67" s="260">
        <v>5000</v>
      </c>
      <c r="O67" s="430" t="s">
        <v>245</v>
      </c>
      <c r="P67" s="431"/>
      <c r="Q67" s="432"/>
    </row>
    <row r="68" spans="1:62">
      <c r="A68" s="19" t="s">
        <v>15</v>
      </c>
      <c r="B68" s="19" t="s">
        <v>15</v>
      </c>
      <c r="C68" s="19" t="s">
        <v>246</v>
      </c>
      <c r="D68" t="s">
        <v>247</v>
      </c>
      <c r="E68" s="19">
        <v>100</v>
      </c>
      <c r="F68" s="19">
        <v>16</v>
      </c>
      <c r="G68" s="19">
        <v>9331773676</v>
      </c>
      <c r="H68" s="205">
        <v>149600</v>
      </c>
      <c r="I68" s="380">
        <v>19000</v>
      </c>
      <c r="J68" s="207">
        <f>SUM(H68-I68-N68-P68-R68-T68-V6)</f>
        <v>93000</v>
      </c>
      <c r="K68" s="208">
        <v>5400</v>
      </c>
      <c r="L68" s="19" t="s">
        <v>30</v>
      </c>
      <c r="M68" s="209">
        <v>44091</v>
      </c>
      <c r="N68" s="216">
        <v>1000</v>
      </c>
      <c r="O68" s="209">
        <v>44133</v>
      </c>
      <c r="P68" s="216">
        <v>5400</v>
      </c>
      <c r="Q68" s="209">
        <v>44209</v>
      </c>
      <c r="R68" s="216">
        <v>10800</v>
      </c>
      <c r="S68" s="209">
        <v>44296</v>
      </c>
      <c r="T68" s="241">
        <v>5400</v>
      </c>
      <c r="U68" s="907" t="s">
        <v>241</v>
      </c>
      <c r="V68" s="907"/>
    </row>
    <row r="69" spans="1:62">
      <c r="A69" s="19" t="s">
        <v>24</v>
      </c>
      <c r="B69" s="238" t="s">
        <v>248</v>
      </c>
      <c r="C69" s="203">
        <v>44064</v>
      </c>
      <c r="D69" t="s">
        <v>249</v>
      </c>
      <c r="E69" s="19">
        <v>100</v>
      </c>
      <c r="F69" s="19">
        <v>62</v>
      </c>
      <c r="G69" s="19">
        <v>9759857686</v>
      </c>
      <c r="H69" s="205">
        <v>149600</v>
      </c>
      <c r="I69" s="240">
        <v>5000</v>
      </c>
      <c r="J69" s="207">
        <f>SUM(H69-I69-N69-P69-R69-T69)</f>
        <v>102600</v>
      </c>
      <c r="K69" s="208">
        <v>5400</v>
      </c>
      <c r="L69" s="19" t="s">
        <v>30</v>
      </c>
      <c r="M69" s="209">
        <v>44103</v>
      </c>
      <c r="N69" s="216">
        <v>15000</v>
      </c>
      <c r="O69" s="209">
        <v>44380</v>
      </c>
      <c r="P69" s="216">
        <v>10800</v>
      </c>
      <c r="Q69" s="209">
        <v>44508</v>
      </c>
      <c r="R69" s="216">
        <v>5400</v>
      </c>
      <c r="S69" s="209">
        <v>44543</v>
      </c>
      <c r="T69" s="241">
        <v>10800</v>
      </c>
      <c r="U69" s="430" t="s">
        <v>250</v>
      </c>
      <c r="V69" s="431"/>
    </row>
    <row r="70" spans="1:62">
      <c r="A70" s="19">
        <v>3</v>
      </c>
      <c r="B70" s="433" t="s">
        <v>52</v>
      </c>
      <c r="C70" s="203">
        <v>45351</v>
      </c>
      <c r="D70" t="s">
        <v>51</v>
      </c>
      <c r="E70" s="19">
        <v>100</v>
      </c>
      <c r="F70" s="19">
        <v>10</v>
      </c>
      <c r="G70" s="19">
        <v>9505136081</v>
      </c>
      <c r="H70" s="205">
        <v>179200</v>
      </c>
      <c r="I70" s="268">
        <v>79400</v>
      </c>
      <c r="J70" s="207">
        <f>H70-I70-N70-P70-R70</f>
        <v>76800</v>
      </c>
      <c r="K70" s="208"/>
      <c r="L70" s="19" t="s">
        <v>251</v>
      </c>
      <c r="M70" s="209">
        <v>45351</v>
      </c>
      <c r="N70" s="304">
        <v>5000</v>
      </c>
      <c r="O70" s="209">
        <v>45387</v>
      </c>
      <c r="P70" s="304">
        <v>7500</v>
      </c>
      <c r="Q70" s="209">
        <v>45419</v>
      </c>
      <c r="R70" s="304">
        <v>10500</v>
      </c>
      <c r="S70" s="907" t="s">
        <v>252</v>
      </c>
      <c r="T70" s="907"/>
      <c r="U70" s="907"/>
    </row>
    <row r="71" spans="1:62">
      <c r="A71" s="196">
        <v>10</v>
      </c>
      <c r="B71" s="399" t="s">
        <v>253</v>
      </c>
      <c r="C71" s="19" t="s">
        <v>254</v>
      </c>
      <c r="D71" s="332" t="s">
        <v>255</v>
      </c>
      <c r="E71" s="196">
        <v>200</v>
      </c>
      <c r="F71" s="196">
        <v>23</v>
      </c>
      <c r="G71" s="196">
        <v>9061524204</v>
      </c>
      <c r="H71" s="276">
        <v>299200</v>
      </c>
      <c r="I71" s="400">
        <v>30000</v>
      </c>
      <c r="J71" s="207">
        <f>SUM(H71-I71-N71-P71-R71-T71-V71-X71-Z71-AB71)</f>
        <v>124200</v>
      </c>
      <c r="K71" s="279">
        <v>10350</v>
      </c>
      <c r="L71" s="196" t="s">
        <v>30</v>
      </c>
      <c r="M71" s="242">
        <v>44169</v>
      </c>
      <c r="N71" s="401">
        <v>20800</v>
      </c>
      <c r="O71" s="209">
        <v>44356</v>
      </c>
      <c r="P71" s="401">
        <v>20700</v>
      </c>
      <c r="Q71" s="209">
        <v>44391</v>
      </c>
      <c r="R71" s="401">
        <v>10350</v>
      </c>
      <c r="S71" s="209">
        <v>44510</v>
      </c>
      <c r="T71" s="402">
        <v>20700</v>
      </c>
      <c r="U71" s="242">
        <v>44622</v>
      </c>
      <c r="V71" s="402">
        <v>31050</v>
      </c>
      <c r="W71" s="209">
        <v>44750</v>
      </c>
      <c r="X71" s="401">
        <v>20700</v>
      </c>
      <c r="Y71" s="234">
        <v>44874</v>
      </c>
      <c r="Z71" s="434">
        <v>10350</v>
      </c>
      <c r="AA71" s="244">
        <v>44991</v>
      </c>
      <c r="AB71" s="403">
        <v>10350</v>
      </c>
      <c r="AC71" s="909" t="s">
        <v>256</v>
      </c>
      <c r="AD71" s="909"/>
      <c r="AE71" s="909"/>
    </row>
    <row r="72" spans="1:62">
      <c r="A72" s="19">
        <v>10</v>
      </c>
      <c r="B72" s="435" t="s">
        <v>253</v>
      </c>
      <c r="C72" s="203">
        <v>44097</v>
      </c>
      <c r="D72" t="s">
        <v>257</v>
      </c>
      <c r="E72" s="19">
        <v>172</v>
      </c>
      <c r="F72" s="19">
        <v>17</v>
      </c>
      <c r="G72" s="19">
        <v>9751381489</v>
      </c>
      <c r="H72" s="205">
        <v>308500</v>
      </c>
      <c r="I72" s="400">
        <v>5000</v>
      </c>
      <c r="J72" s="207">
        <f>SUM(H72-I72-N72-P72-R72-T72-V72)</f>
        <v>203500</v>
      </c>
      <c r="K72" s="208">
        <v>9288</v>
      </c>
      <c r="L72" s="19" t="s">
        <v>170</v>
      </c>
      <c r="M72" s="209">
        <v>44144</v>
      </c>
      <c r="N72" s="401">
        <v>10000</v>
      </c>
      <c r="O72" s="209">
        <v>44498</v>
      </c>
      <c r="P72" s="401">
        <v>50000</v>
      </c>
      <c r="Q72" s="436">
        <v>45068</v>
      </c>
      <c r="R72" s="304">
        <v>5000</v>
      </c>
      <c r="S72" s="436">
        <v>45120</v>
      </c>
      <c r="T72" s="437">
        <v>5000</v>
      </c>
      <c r="U72" s="438">
        <v>45178</v>
      </c>
      <c r="V72" s="437">
        <v>30000</v>
      </c>
      <c r="W72" s="907" t="s">
        <v>258</v>
      </c>
      <c r="X72" s="907"/>
      <c r="Y72" s="907"/>
    </row>
    <row r="73" spans="1:62">
      <c r="A73" s="19">
        <v>10</v>
      </c>
      <c r="B73" s="73" t="s">
        <v>43</v>
      </c>
      <c r="C73" s="203" t="s">
        <v>259</v>
      </c>
      <c r="D73" s="439" t="s">
        <v>42</v>
      </c>
      <c r="E73" s="19">
        <v>200</v>
      </c>
      <c r="F73" s="275">
        <v>48</v>
      </c>
      <c r="H73" s="205">
        <v>260000</v>
      </c>
      <c r="I73" s="440">
        <v>40000</v>
      </c>
      <c r="J73" s="207">
        <f>SUM(H73-I73-N73)</f>
        <v>0</v>
      </c>
      <c r="K73" s="208" t="s">
        <v>15</v>
      </c>
      <c r="L73" s="19" t="s">
        <v>66</v>
      </c>
      <c r="M73" s="209">
        <v>44394</v>
      </c>
      <c r="N73" s="401">
        <v>220000</v>
      </c>
      <c r="O73" s="217" t="s">
        <v>17</v>
      </c>
      <c r="P73" s="218">
        <v>1000</v>
      </c>
      <c r="Q73" s="907" t="s">
        <v>260</v>
      </c>
      <c r="R73" s="907"/>
      <c r="S73" s="907"/>
    </row>
    <row r="74" spans="1:62">
      <c r="A74" s="19">
        <v>7</v>
      </c>
      <c r="B74" s="291" t="s">
        <v>160</v>
      </c>
      <c r="C74" s="273">
        <v>45619</v>
      </c>
      <c r="D74" s="292" t="s">
        <v>161</v>
      </c>
      <c r="E74" s="275">
        <v>278</v>
      </c>
      <c r="F74" s="275">
        <v>20</v>
      </c>
      <c r="G74" s="275">
        <v>9706774822</v>
      </c>
      <c r="H74" s="276">
        <v>535984</v>
      </c>
      <c r="I74" s="293">
        <v>50000</v>
      </c>
      <c r="J74" s="278">
        <f>H74-I74-N74-P74-R74</f>
        <v>415984</v>
      </c>
      <c r="K74" s="279">
        <v>13344</v>
      </c>
      <c r="L74" s="196" t="s">
        <v>69</v>
      </c>
      <c r="M74" s="231">
        <v>45660</v>
      </c>
      <c r="N74" s="294">
        <v>15000</v>
      </c>
      <c r="O74" s="231">
        <v>45712</v>
      </c>
      <c r="P74" s="294">
        <v>15000</v>
      </c>
      <c r="Q74" s="209">
        <v>45882</v>
      </c>
      <c r="R74" s="802">
        <v>40000</v>
      </c>
      <c r="S74" s="910" t="s">
        <v>673</v>
      </c>
      <c r="T74" s="910"/>
      <c r="U74" s="910"/>
      <c r="V74" s="910"/>
      <c r="W74" s="209"/>
      <c r="X74" s="216"/>
    </row>
    <row r="75" spans="1:62">
      <c r="A75" s="19">
        <v>7</v>
      </c>
      <c r="B75" s="261" t="s">
        <v>152</v>
      </c>
      <c r="C75" s="203">
        <v>44631</v>
      </c>
      <c r="D75" s="249" t="s">
        <v>153</v>
      </c>
      <c r="E75" s="3" t="s">
        <v>154</v>
      </c>
      <c r="F75" s="262" t="s">
        <v>155</v>
      </c>
      <c r="G75" s="19">
        <v>9675895656</v>
      </c>
      <c r="H75" s="205">
        <v>176400</v>
      </c>
      <c r="I75" s="263">
        <v>25000</v>
      </c>
      <c r="J75" s="207">
        <f>H75-I75-N75</f>
        <v>0</v>
      </c>
      <c r="K75" s="208" t="s">
        <v>15</v>
      </c>
      <c r="L75" s="19" t="s">
        <v>16</v>
      </c>
      <c r="M75" s="209">
        <v>44631</v>
      </c>
      <c r="N75" s="264">
        <v>151400</v>
      </c>
      <c r="O75" s="265" t="s">
        <v>17</v>
      </c>
      <c r="P75" s="266">
        <v>1000</v>
      </c>
      <c r="Q75" s="910" t="s">
        <v>687</v>
      </c>
      <c r="R75" s="910"/>
      <c r="S75" s="910"/>
      <c r="T75" s="910"/>
      <c r="U75" s="910"/>
      <c r="V75" s="241"/>
      <c r="Y75" s="234"/>
      <c r="Z75" s="243"/>
      <c r="AA75" s="244"/>
      <c r="AB75" s="243"/>
    </row>
    <row r="76" spans="1:62">
      <c r="A76" s="19">
        <v>7</v>
      </c>
      <c r="B76" s="19" t="s">
        <v>219</v>
      </c>
      <c r="C76" s="203">
        <v>45640</v>
      </c>
      <c r="D76" s="379" t="s">
        <v>220</v>
      </c>
      <c r="E76" s="19">
        <v>150</v>
      </c>
      <c r="F76" s="19">
        <v>19</v>
      </c>
      <c r="G76" s="19">
        <v>9659157291</v>
      </c>
      <c r="H76" s="205">
        <v>289200</v>
      </c>
      <c r="I76" s="380">
        <v>10000</v>
      </c>
      <c r="J76" s="207">
        <f>H76-I76-N76</f>
        <v>269200</v>
      </c>
      <c r="K76" s="208">
        <v>7200</v>
      </c>
      <c r="L76" s="19" t="s">
        <v>69</v>
      </c>
      <c r="M76" s="209">
        <v>45712</v>
      </c>
      <c r="N76" s="216">
        <v>10000</v>
      </c>
      <c r="O76" s="907" t="s">
        <v>696</v>
      </c>
      <c r="P76" s="907"/>
      <c r="Q76" s="907"/>
      <c r="R76" s="907"/>
      <c r="S76" s="910" t="s">
        <v>698</v>
      </c>
      <c r="T76" s="910"/>
      <c r="U76" s="910"/>
      <c r="V76" s="241"/>
      <c r="W76" s="209"/>
      <c r="X76" s="216"/>
      <c r="Y76" s="234"/>
      <c r="Z76" s="243"/>
      <c r="AA76" s="244"/>
      <c r="AB76" s="243"/>
      <c r="AC76" s="244"/>
      <c r="AD76" s="243"/>
    </row>
    <row r="77" spans="1:62">
      <c r="A77" s="19">
        <v>3</v>
      </c>
      <c r="B77" s="315" t="s">
        <v>181</v>
      </c>
      <c r="C77" s="203">
        <v>45666</v>
      </c>
      <c r="D77" t="s">
        <v>182</v>
      </c>
      <c r="E77" s="19">
        <v>172</v>
      </c>
      <c r="F77" s="19">
        <v>17</v>
      </c>
      <c r="G77" s="19">
        <v>9261580422</v>
      </c>
      <c r="H77" s="205">
        <v>306848</v>
      </c>
      <c r="I77" s="316">
        <v>20000</v>
      </c>
      <c r="J77" s="207">
        <f>H77-I77-N77-P77-T77-V77-X77</f>
        <v>110848</v>
      </c>
      <c r="K77" s="208">
        <v>11352</v>
      </c>
      <c r="L77" s="19" t="s">
        <v>53</v>
      </c>
      <c r="M77" s="209">
        <v>45695</v>
      </c>
      <c r="N77" s="317">
        <v>31000</v>
      </c>
      <c r="O77" s="209">
        <v>45754</v>
      </c>
      <c r="P77" s="317">
        <v>45000</v>
      </c>
      <c r="Q77" s="217" t="s">
        <v>26</v>
      </c>
      <c r="R77" s="218">
        <v>500</v>
      </c>
      <c r="S77" s="209">
        <v>45876</v>
      </c>
      <c r="T77" s="317">
        <v>50000</v>
      </c>
      <c r="U77" s="242">
        <v>45924</v>
      </c>
      <c r="V77" s="317">
        <v>10000</v>
      </c>
      <c r="W77" s="209">
        <v>46028</v>
      </c>
      <c r="X77" s="264">
        <v>40000</v>
      </c>
      <c r="Y77" s="911" t="s">
        <v>714</v>
      </c>
      <c r="Z77" s="911"/>
      <c r="AA77" s="911"/>
      <c r="AB77" s="911"/>
      <c r="AC77" s="244"/>
      <c r="AD77" s="216"/>
      <c r="AE77" s="244"/>
      <c r="AF77" s="216"/>
      <c r="AG77" s="244"/>
      <c r="AH77" s="216"/>
      <c r="AI77" s="244"/>
      <c r="AJ77" s="243"/>
      <c r="AK77" s="244"/>
      <c r="AL77" s="243"/>
      <c r="AM77" s="244"/>
      <c r="AN77" s="243"/>
      <c r="AO77" s="244"/>
      <c r="AP77" s="243"/>
      <c r="AQ77" s="244"/>
      <c r="AR77" s="318"/>
      <c r="AS77" s="244"/>
      <c r="AT77" s="318"/>
      <c r="AU77" s="244"/>
      <c r="AV77" s="318"/>
      <c r="AW77" s="244"/>
      <c r="AX77" s="318"/>
      <c r="AY77" s="244"/>
      <c r="AZ77" s="318"/>
      <c r="BA77" s="244"/>
      <c r="BB77" s="318"/>
      <c r="BC77" s="244"/>
      <c r="BD77" s="318"/>
      <c r="BE77" s="244"/>
      <c r="BF77" s="318"/>
      <c r="BG77" s="244"/>
      <c r="BH77" s="318"/>
      <c r="BI77" s="244"/>
      <c r="BJ77" s="318"/>
    </row>
    <row r="78" spans="1:62">
      <c r="C78" s="203"/>
      <c r="H78" s="205"/>
      <c r="I78" s="380"/>
      <c r="J78" s="207"/>
      <c r="K78" s="208"/>
      <c r="M78" s="209"/>
      <c r="N78" s="216"/>
      <c r="O78" s="209"/>
      <c r="P78" s="216"/>
      <c r="Q78" s="209"/>
      <c r="R78" s="216"/>
    </row>
    <row r="79" spans="1:62">
      <c r="C79" s="441" t="s">
        <v>100</v>
      </c>
    </row>
    <row r="80" spans="1:62">
      <c r="A80" s="19">
        <v>10</v>
      </c>
      <c r="B80" s="305" t="s">
        <v>261</v>
      </c>
      <c r="C80" s="203">
        <v>44091</v>
      </c>
      <c r="D80" t="s">
        <v>262</v>
      </c>
      <c r="E80" s="19">
        <v>200</v>
      </c>
      <c r="F80" s="19">
        <v>29</v>
      </c>
      <c r="G80" s="19">
        <v>9279388377</v>
      </c>
      <c r="H80" s="205">
        <v>299200</v>
      </c>
      <c r="I80" s="380">
        <v>5000</v>
      </c>
      <c r="J80" s="207">
        <f>SUM(H80-I80)</f>
        <v>294200</v>
      </c>
      <c r="K80" s="208">
        <v>10800</v>
      </c>
      <c r="L80" s="238" t="s">
        <v>91</v>
      </c>
      <c r="M80" s="372">
        <v>44195</v>
      </c>
      <c r="N80" s="337">
        <v>5000</v>
      </c>
    </row>
    <row r="81" spans="1:66">
      <c r="A81" s="19">
        <v>10</v>
      </c>
      <c r="B81" s="219" t="s">
        <v>139</v>
      </c>
      <c r="C81" s="203">
        <v>44062</v>
      </c>
      <c r="D81" t="s">
        <v>263</v>
      </c>
      <c r="E81" s="19">
        <v>200</v>
      </c>
      <c r="F81" s="19">
        <v>27</v>
      </c>
      <c r="G81" s="19">
        <v>9758260546</v>
      </c>
      <c r="H81" s="205">
        <v>299200</v>
      </c>
      <c r="I81" s="221">
        <v>5000</v>
      </c>
      <c r="J81" s="207" t="e">
        <f>SUM(H81-I81-N81-#REF!-#REF!)</f>
        <v>#REF!</v>
      </c>
      <c r="K81" s="208">
        <v>10800</v>
      </c>
      <c r="L81" s="19" t="s">
        <v>30</v>
      </c>
      <c r="M81" s="209">
        <v>44068</v>
      </c>
      <c r="N81" s="223">
        <v>5000</v>
      </c>
      <c r="O81" s="442" t="s">
        <v>264</v>
      </c>
      <c r="P81" s="443"/>
      <c r="Q81" s="432"/>
    </row>
    <row r="82" spans="1:66">
      <c r="A82" s="19">
        <v>10</v>
      </c>
      <c r="B82" s="347" t="s">
        <v>209</v>
      </c>
      <c r="C82" s="203">
        <v>44103</v>
      </c>
      <c r="D82" t="s">
        <v>210</v>
      </c>
      <c r="E82" s="19">
        <v>150</v>
      </c>
      <c r="F82" s="19">
        <v>43</v>
      </c>
      <c r="H82" s="205">
        <v>224400</v>
      </c>
      <c r="I82" s="348">
        <v>5000</v>
      </c>
      <c r="J82" s="207">
        <f>SUM(H82-I82-N82-P82)</f>
        <v>219400</v>
      </c>
      <c r="K82" s="208">
        <v>8100</v>
      </c>
      <c r="L82" s="19" t="s">
        <v>30</v>
      </c>
      <c r="M82" s="209"/>
      <c r="N82" s="216"/>
    </row>
    <row r="84" spans="1:66">
      <c r="C84" s="441" t="s">
        <v>265</v>
      </c>
    </row>
    <row r="85" spans="1:66">
      <c r="A85" s="19">
        <v>10</v>
      </c>
      <c r="B85" s="399" t="s">
        <v>132</v>
      </c>
      <c r="C85" s="203">
        <v>44095</v>
      </c>
      <c r="D85" t="s">
        <v>266</v>
      </c>
      <c r="E85" s="19">
        <v>100</v>
      </c>
      <c r="F85" s="19">
        <v>65</v>
      </c>
      <c r="G85" s="19">
        <v>9659173887</v>
      </c>
      <c r="H85" s="205">
        <v>149600</v>
      </c>
      <c r="I85" s="400">
        <v>20000</v>
      </c>
      <c r="J85" s="207">
        <f>SUM(H85-I85-N85-P85)</f>
        <v>129600</v>
      </c>
      <c r="K85" s="208">
        <v>5400</v>
      </c>
      <c r="L85" s="19" t="s">
        <v>30</v>
      </c>
    </row>
    <row r="86" spans="1:66">
      <c r="A86" s="19" t="s">
        <v>24</v>
      </c>
      <c r="B86" s="238" t="s">
        <v>25</v>
      </c>
      <c r="C86" s="203">
        <v>44056</v>
      </c>
      <c r="D86" t="s">
        <v>267</v>
      </c>
      <c r="E86" s="19">
        <v>100</v>
      </c>
      <c r="F86" s="19">
        <v>10</v>
      </c>
      <c r="G86" s="19">
        <v>9092366795</v>
      </c>
      <c r="H86" s="205">
        <v>149600</v>
      </c>
      <c r="I86" s="240">
        <v>5000</v>
      </c>
      <c r="J86" s="207">
        <f>SUM(H86-I86-N86-P86-R86)</f>
        <v>129600</v>
      </c>
      <c r="K86" s="208">
        <v>5400</v>
      </c>
      <c r="L86" s="19" t="s">
        <v>53</v>
      </c>
      <c r="M86" s="209">
        <v>44061</v>
      </c>
      <c r="N86" s="216">
        <v>10000</v>
      </c>
      <c r="O86" s="209">
        <v>44085</v>
      </c>
      <c r="P86" s="216">
        <v>5000</v>
      </c>
    </row>
    <row r="87" spans="1:66">
      <c r="A87" s="19" t="s">
        <v>24</v>
      </c>
      <c r="B87" s="213" t="s">
        <v>40</v>
      </c>
      <c r="C87" s="203" t="s">
        <v>22</v>
      </c>
      <c r="D87" s="379" t="s">
        <v>268</v>
      </c>
      <c r="E87" s="19">
        <v>182</v>
      </c>
      <c r="F87" s="19">
        <v>68</v>
      </c>
      <c r="G87" s="19">
        <v>9364314218</v>
      </c>
      <c r="H87" s="205">
        <v>272272</v>
      </c>
      <c r="I87" s="214">
        <v>28416</v>
      </c>
      <c r="J87" s="207">
        <f>SUM(H87-I87-N87-P87-R87-T87-V87-X87-Z87)</f>
        <v>186572</v>
      </c>
      <c r="K87" s="205">
        <v>9828</v>
      </c>
      <c r="L87" s="215" t="s">
        <v>30</v>
      </c>
      <c r="M87" s="209">
        <v>44261</v>
      </c>
      <c r="N87" s="216">
        <v>20000</v>
      </c>
      <c r="O87" s="209">
        <v>44323</v>
      </c>
      <c r="P87" s="216">
        <v>7800</v>
      </c>
      <c r="Q87" s="209">
        <v>44378</v>
      </c>
      <c r="R87" s="216">
        <v>9828</v>
      </c>
      <c r="S87" s="209">
        <v>44473</v>
      </c>
      <c r="T87" s="241">
        <v>9828</v>
      </c>
      <c r="U87" s="242">
        <v>44652</v>
      </c>
      <c r="V87" s="241">
        <v>9828</v>
      </c>
    </row>
    <row r="88" spans="1:66">
      <c r="A88" s="19">
        <v>7</v>
      </c>
      <c r="B88" s="444" t="s">
        <v>82</v>
      </c>
      <c r="C88" s="203">
        <v>44705</v>
      </c>
      <c r="D88" s="343" t="s">
        <v>269</v>
      </c>
      <c r="E88" s="19">
        <v>100</v>
      </c>
      <c r="F88" s="19">
        <v>45</v>
      </c>
      <c r="G88" s="19">
        <v>9477744457</v>
      </c>
      <c r="H88" s="205">
        <v>164000</v>
      </c>
      <c r="I88" s="263">
        <v>44000</v>
      </c>
      <c r="J88" s="207">
        <f>H88-I88-N88</f>
        <v>120000</v>
      </c>
      <c r="K88" s="208">
        <v>4000</v>
      </c>
      <c r="L88" s="262" t="s">
        <v>69</v>
      </c>
      <c r="M88" s="37"/>
      <c r="N88" s="445"/>
      <c r="Q88" s="209"/>
      <c r="R88" s="216"/>
      <c r="S88" s="209"/>
      <c r="T88" s="241"/>
      <c r="U88" s="242"/>
      <c r="V88" s="241"/>
      <c r="W88" s="209"/>
      <c r="X88" s="216"/>
      <c r="Y88" s="234"/>
      <c r="Z88" s="241"/>
      <c r="AA88" s="244"/>
      <c r="AB88" s="241"/>
      <c r="AC88" s="244"/>
      <c r="AD88" s="243"/>
      <c r="AE88" s="244"/>
      <c r="AF88" s="243"/>
    </row>
    <row r="89" spans="1:66">
      <c r="A89" s="19">
        <v>10</v>
      </c>
      <c r="B89" s="219" t="s">
        <v>121</v>
      </c>
      <c r="C89" s="203">
        <v>44062</v>
      </c>
      <c r="D89" s="239" t="s">
        <v>270</v>
      </c>
      <c r="E89" s="19">
        <v>100</v>
      </c>
      <c r="F89" s="19">
        <v>46</v>
      </c>
      <c r="G89" s="19">
        <v>9978317245</v>
      </c>
      <c r="H89" s="205">
        <v>149600</v>
      </c>
      <c r="I89" s="221">
        <v>5000</v>
      </c>
      <c r="J89" s="207">
        <f>SUM(H89-I89-N89-P89-R89-T89-V89-X89-Z89-AB89-AD89-AF89-AH89-AJ89-AL89-AN89-AP89-AR89-AT89-AV89-AX89-AZ89)</f>
        <v>35500</v>
      </c>
      <c r="K89" s="208">
        <v>5400</v>
      </c>
      <c r="L89" s="19" t="s">
        <v>30</v>
      </c>
      <c r="M89" s="209">
        <v>44089</v>
      </c>
      <c r="N89" s="223">
        <v>15000</v>
      </c>
      <c r="O89" s="209">
        <v>44113</v>
      </c>
      <c r="P89" s="223">
        <v>5400</v>
      </c>
      <c r="Q89" s="209">
        <v>44145</v>
      </c>
      <c r="R89" s="223">
        <v>5400</v>
      </c>
      <c r="S89" s="209">
        <v>44187</v>
      </c>
      <c r="T89" s="223">
        <v>5400</v>
      </c>
      <c r="U89" s="242">
        <v>44238</v>
      </c>
      <c r="V89" s="223">
        <v>5400</v>
      </c>
      <c r="W89" s="209">
        <v>44270</v>
      </c>
      <c r="X89" s="223">
        <v>5400</v>
      </c>
      <c r="Y89" s="234">
        <v>44298</v>
      </c>
      <c r="Z89" s="227">
        <v>4400</v>
      </c>
      <c r="AA89" s="244">
        <v>44365</v>
      </c>
      <c r="AB89" s="227">
        <v>8000</v>
      </c>
      <c r="AC89" s="244">
        <v>44421</v>
      </c>
      <c r="AD89" s="223">
        <v>5400</v>
      </c>
      <c r="AE89" s="244">
        <v>44455</v>
      </c>
      <c r="AF89" s="446">
        <v>4000</v>
      </c>
      <c r="AG89" s="244">
        <v>44481</v>
      </c>
      <c r="AH89" s="227">
        <v>5400</v>
      </c>
      <c r="AI89" s="244">
        <v>44511</v>
      </c>
      <c r="AJ89" s="227">
        <v>5000</v>
      </c>
      <c r="AK89" s="244">
        <v>44551</v>
      </c>
      <c r="AL89" s="255">
        <v>5000</v>
      </c>
      <c r="AM89" s="244">
        <v>44576</v>
      </c>
      <c r="AN89" s="255">
        <v>5200</v>
      </c>
      <c r="AO89" s="244">
        <v>44599</v>
      </c>
      <c r="AP89" s="255">
        <v>5400</v>
      </c>
      <c r="AQ89" s="244">
        <v>44701</v>
      </c>
      <c r="AR89" s="336">
        <v>3300</v>
      </c>
      <c r="AS89" s="244">
        <v>44728</v>
      </c>
      <c r="AT89" s="336">
        <v>5400</v>
      </c>
      <c r="AU89" s="244">
        <v>44757</v>
      </c>
      <c r="AV89" s="336">
        <v>5200</v>
      </c>
      <c r="AW89" s="244">
        <v>44799</v>
      </c>
      <c r="AX89" s="336">
        <v>5400</v>
      </c>
      <c r="AY89" s="909" t="s">
        <v>271</v>
      </c>
      <c r="AZ89" s="909"/>
      <c r="BA89" s="909"/>
      <c r="BB89" s="909"/>
    </row>
    <row r="90" spans="1:66">
      <c r="A90" s="19">
        <v>10</v>
      </c>
      <c r="B90" s="267" t="s">
        <v>38</v>
      </c>
      <c r="C90" s="203">
        <v>44067</v>
      </c>
      <c r="D90" s="239" t="s">
        <v>272</v>
      </c>
      <c r="E90" s="19">
        <v>100</v>
      </c>
      <c r="F90" s="19">
        <v>12</v>
      </c>
      <c r="G90" s="19">
        <v>9759372141</v>
      </c>
      <c r="H90" s="205">
        <v>179200</v>
      </c>
      <c r="I90" s="268">
        <v>5000</v>
      </c>
      <c r="J90" s="207">
        <f>SUM(H90-I90-N90-R90-T90-V90-X90-Z90-AB90-AD90-AF90-AH90-AJ90-AL90)</f>
        <v>99800</v>
      </c>
      <c r="K90" s="208">
        <v>5400</v>
      </c>
      <c r="L90" s="19" t="s">
        <v>170</v>
      </c>
      <c r="M90" s="209">
        <v>44092</v>
      </c>
      <c r="N90" s="269">
        <v>15000</v>
      </c>
      <c r="O90" s="253" t="s">
        <v>26</v>
      </c>
      <c r="P90" s="254">
        <v>500</v>
      </c>
      <c r="Q90" s="209">
        <v>44137</v>
      </c>
      <c r="R90" s="269">
        <v>5400</v>
      </c>
      <c r="S90" s="209">
        <v>44172</v>
      </c>
      <c r="T90" s="269">
        <v>5400</v>
      </c>
      <c r="U90" s="242">
        <v>44207</v>
      </c>
      <c r="V90" s="269">
        <v>5400</v>
      </c>
      <c r="W90" s="209">
        <v>44243</v>
      </c>
      <c r="X90" s="269">
        <v>5400</v>
      </c>
      <c r="Y90" s="234">
        <v>44291</v>
      </c>
      <c r="Z90" s="269">
        <v>5400</v>
      </c>
      <c r="AA90" s="244">
        <v>44349</v>
      </c>
      <c r="AB90" s="269">
        <v>5400</v>
      </c>
      <c r="AC90" s="244">
        <v>44411</v>
      </c>
      <c r="AD90" s="269">
        <v>5400</v>
      </c>
      <c r="AE90" s="244">
        <v>44578</v>
      </c>
      <c r="AF90" s="271">
        <v>5400</v>
      </c>
      <c r="AG90" s="244">
        <v>44657</v>
      </c>
      <c r="AH90" s="271">
        <v>5400</v>
      </c>
      <c r="AI90" s="244">
        <v>44751</v>
      </c>
      <c r="AJ90" s="271">
        <v>5400</v>
      </c>
      <c r="AK90" s="244">
        <v>44922</v>
      </c>
      <c r="AL90" s="271">
        <v>5400</v>
      </c>
      <c r="AM90" s="909" t="s">
        <v>273</v>
      </c>
      <c r="AN90" s="909"/>
      <c r="AO90" s="909"/>
      <c r="AP90" s="909"/>
    </row>
    <row r="91" spans="1:66">
      <c r="A91" s="19">
        <v>5</v>
      </c>
      <c r="B91" s="447" t="s">
        <v>274</v>
      </c>
      <c r="C91" s="203">
        <v>44111</v>
      </c>
      <c r="D91" s="239" t="s">
        <v>275</v>
      </c>
      <c r="E91" s="19">
        <v>150</v>
      </c>
      <c r="F91" s="19">
        <v>19</v>
      </c>
      <c r="G91" s="19">
        <v>9677807385</v>
      </c>
      <c r="H91" s="205">
        <v>246000</v>
      </c>
      <c r="I91" s="448">
        <v>2000</v>
      </c>
      <c r="J91" s="207">
        <f>SUM(H91-I91-N91-P91-R91-T91-V91-X91-Z91)</f>
        <v>152300</v>
      </c>
      <c r="K91" s="208">
        <v>8100</v>
      </c>
      <c r="L91" s="19" t="s">
        <v>30</v>
      </c>
      <c r="M91" s="209">
        <v>44142</v>
      </c>
      <c r="N91" s="449">
        <v>28000</v>
      </c>
      <c r="O91" s="209">
        <v>44170</v>
      </c>
      <c r="P91" s="311">
        <v>8100</v>
      </c>
      <c r="Q91" s="231">
        <v>44266</v>
      </c>
      <c r="R91" s="450">
        <v>16200</v>
      </c>
      <c r="S91" s="209">
        <v>44382</v>
      </c>
      <c r="T91" s="450">
        <v>16200</v>
      </c>
      <c r="U91" s="209">
        <v>44697</v>
      </c>
      <c r="V91" s="216">
        <v>15000</v>
      </c>
      <c r="W91" s="209">
        <v>44719</v>
      </c>
      <c r="X91" s="216">
        <v>8200</v>
      </c>
      <c r="Z91" s="211"/>
      <c r="AA91" s="197"/>
      <c r="AB91" s="211"/>
      <c r="AC91" s="197"/>
      <c r="AD91" s="211"/>
      <c r="AE91" s="19"/>
      <c r="AF91" s="211"/>
      <c r="AG91" s="212"/>
      <c r="AH91" s="211"/>
      <c r="AI91" s="212"/>
      <c r="AJ91" s="211"/>
      <c r="AK91" s="19"/>
      <c r="AL91" s="211"/>
      <c r="AM91" s="19"/>
      <c r="AN91" s="211"/>
      <c r="AO91" s="19"/>
      <c r="AP91" s="211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</row>
    <row r="93" spans="1:66">
      <c r="C93" s="441" t="s">
        <v>276</v>
      </c>
    </row>
    <row r="94" spans="1:66">
      <c r="A94" s="19">
        <v>10</v>
      </c>
      <c r="B94" s="238" t="s">
        <v>25</v>
      </c>
      <c r="C94" s="203">
        <v>44111</v>
      </c>
      <c r="D94" t="s">
        <v>277</v>
      </c>
      <c r="E94" s="19">
        <v>127</v>
      </c>
      <c r="F94" s="19">
        <v>48</v>
      </c>
      <c r="H94" s="205">
        <v>194592</v>
      </c>
      <c r="I94" s="380">
        <v>2000</v>
      </c>
      <c r="J94" s="207">
        <f>SUM(H94-I94-N94-P94)</f>
        <v>192592</v>
      </c>
      <c r="K94" s="208">
        <v>6858</v>
      </c>
      <c r="L94" s="19" t="s">
        <v>30</v>
      </c>
      <c r="M94" s="209"/>
      <c r="N94" s="216"/>
      <c r="Q94" s="196"/>
      <c r="R94" s="195"/>
      <c r="T94" s="198"/>
      <c r="U94" s="197"/>
      <c r="V94" s="198"/>
      <c r="Z94" s="211"/>
      <c r="AA94" s="197"/>
      <c r="AB94" s="211"/>
      <c r="AC94" s="197"/>
      <c r="AD94" s="211"/>
      <c r="AE94" s="19"/>
      <c r="AF94" s="211"/>
      <c r="AG94" s="212"/>
      <c r="AH94" s="211"/>
      <c r="AI94" s="212"/>
      <c r="AJ94" s="211"/>
      <c r="AK94" s="19"/>
      <c r="AL94" s="211"/>
      <c r="AM94" s="19"/>
      <c r="AN94" s="211"/>
      <c r="AO94" s="19"/>
      <c r="AP94" s="211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</row>
    <row r="95" spans="1:66">
      <c r="A95" s="19">
        <v>10</v>
      </c>
      <c r="B95" s="219" t="s">
        <v>14</v>
      </c>
      <c r="C95" s="203">
        <v>44090</v>
      </c>
      <c r="D95" t="s">
        <v>278</v>
      </c>
      <c r="E95" s="19">
        <v>200</v>
      </c>
      <c r="F95" s="19">
        <v>25</v>
      </c>
      <c r="G95" s="19">
        <v>9776282070</v>
      </c>
      <c r="H95" s="205">
        <v>299200</v>
      </c>
      <c r="I95" s="380">
        <v>5000</v>
      </c>
      <c r="J95" s="207">
        <f>SUM(H95-I95-N95-P95-R95)</f>
        <v>294200</v>
      </c>
      <c r="K95" s="208">
        <v>10800</v>
      </c>
      <c r="L95" s="19" t="s">
        <v>30</v>
      </c>
    </row>
    <row r="96" spans="1:66">
      <c r="A96" s="19">
        <v>10</v>
      </c>
      <c r="B96" s="305" t="s">
        <v>29</v>
      </c>
      <c r="C96" s="203" t="s">
        <v>279</v>
      </c>
      <c r="D96" s="379" t="s">
        <v>280</v>
      </c>
      <c r="E96" s="19">
        <v>200</v>
      </c>
      <c r="F96" s="19">
        <v>58</v>
      </c>
      <c r="G96" s="19">
        <v>9208208800</v>
      </c>
      <c r="H96" s="205">
        <v>299200</v>
      </c>
      <c r="I96" s="306">
        <v>5000</v>
      </c>
      <c r="J96" s="207">
        <f>SUM(H96-I96-N96-P96)</f>
        <v>284200</v>
      </c>
      <c r="K96" s="208">
        <v>10800</v>
      </c>
      <c r="L96" s="215" t="s">
        <v>30</v>
      </c>
      <c r="M96" s="209">
        <v>44166</v>
      </c>
      <c r="N96" s="307">
        <v>10000</v>
      </c>
      <c r="O96" s="209"/>
      <c r="P96" s="216"/>
    </row>
    <row r="97" spans="1:66">
      <c r="A97" s="19">
        <v>10</v>
      </c>
      <c r="B97" s="219" t="s">
        <v>139</v>
      </c>
      <c r="C97" s="203">
        <v>44090</v>
      </c>
      <c r="D97" t="s">
        <v>281</v>
      </c>
      <c r="E97" s="19">
        <v>200</v>
      </c>
      <c r="F97" s="19">
        <v>55</v>
      </c>
      <c r="H97" s="205">
        <v>299200</v>
      </c>
      <c r="I97" s="221">
        <v>10000</v>
      </c>
      <c r="J97" s="207">
        <f>SUM(H97-I97-N97-P97-R97-T97)</f>
        <v>289200</v>
      </c>
      <c r="K97" s="208">
        <v>10800</v>
      </c>
      <c r="L97" s="19" t="s">
        <v>30</v>
      </c>
    </row>
    <row r="98" spans="1:66">
      <c r="A98" s="19">
        <v>10</v>
      </c>
      <c r="B98" s="219" t="s">
        <v>121</v>
      </c>
      <c r="C98" s="203" t="s">
        <v>259</v>
      </c>
      <c r="D98" s="332" t="s">
        <v>120</v>
      </c>
      <c r="E98" s="19">
        <v>127</v>
      </c>
      <c r="F98" s="19">
        <v>48</v>
      </c>
      <c r="H98" s="205">
        <v>184000</v>
      </c>
      <c r="I98" s="406">
        <v>10000</v>
      </c>
      <c r="J98" s="207">
        <f>SUM(H98-I98-N98-P98-R98)</f>
        <v>158600</v>
      </c>
      <c r="K98" s="208">
        <v>6000</v>
      </c>
      <c r="L98" s="19" t="s">
        <v>30</v>
      </c>
      <c r="M98" s="209">
        <v>44345</v>
      </c>
      <c r="N98" s="407">
        <v>2000</v>
      </c>
      <c r="O98" s="209">
        <v>44660</v>
      </c>
      <c r="P98" s="407">
        <v>10000</v>
      </c>
      <c r="Q98" s="242">
        <v>44660</v>
      </c>
      <c r="R98" s="408">
        <v>3400</v>
      </c>
      <c r="S98" s="200"/>
      <c r="V98"/>
      <c r="X98" s="19"/>
      <c r="Y98" s="211"/>
      <c r="Z98"/>
      <c r="AA98" s="201"/>
      <c r="AB98"/>
      <c r="AC98" s="201"/>
      <c r="AD98"/>
      <c r="AF98"/>
    </row>
    <row r="99" spans="1:66">
      <c r="A99" s="19">
        <v>5</v>
      </c>
      <c r="B99" s="347" t="s">
        <v>209</v>
      </c>
      <c r="C99" s="203">
        <v>44058</v>
      </c>
      <c r="D99" t="s">
        <v>282</v>
      </c>
      <c r="E99" s="19">
        <v>178</v>
      </c>
      <c r="F99" s="19">
        <v>48</v>
      </c>
      <c r="G99" s="19">
        <v>9199998254</v>
      </c>
      <c r="H99" s="205">
        <v>266288</v>
      </c>
      <c r="I99" s="348">
        <v>5000</v>
      </c>
      <c r="J99" s="207">
        <f>SUM(H99-I99-N99-P99)</f>
        <v>230688</v>
      </c>
      <c r="K99" s="208">
        <v>9612</v>
      </c>
      <c r="L99" s="19" t="s">
        <v>59</v>
      </c>
      <c r="M99" s="209">
        <v>44090</v>
      </c>
      <c r="N99" s="349">
        <v>15000</v>
      </c>
      <c r="O99" s="209">
        <v>44414</v>
      </c>
      <c r="P99" s="349">
        <v>15600</v>
      </c>
      <c r="Q99" s="196"/>
      <c r="R99" s="195"/>
      <c r="T99" s="198"/>
      <c r="U99" s="197"/>
      <c r="V99" s="198"/>
      <c r="Z99" s="211"/>
      <c r="AA99" s="197"/>
      <c r="AB99" s="211"/>
      <c r="AC99" s="197"/>
      <c r="AD99" s="211"/>
      <c r="AE99" s="19"/>
      <c r="AF99" s="211"/>
      <c r="AG99" s="212"/>
      <c r="AH99" s="211"/>
      <c r="AI99" s="212"/>
      <c r="AJ99" s="211"/>
      <c r="AK99" s="19"/>
      <c r="AL99" s="211"/>
      <c r="AM99" s="19"/>
      <c r="AN99" s="211"/>
      <c r="AO99" s="19"/>
      <c r="AP99" s="211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</row>
    <row r="100" spans="1:66">
      <c r="A100" s="19">
        <v>7</v>
      </c>
      <c r="B100" s="451" t="s">
        <v>283</v>
      </c>
      <c r="C100" s="234">
        <v>44733</v>
      </c>
      <c r="D100" s="239" t="s">
        <v>284</v>
      </c>
      <c r="E100" s="19">
        <v>182</v>
      </c>
      <c r="F100" s="19">
        <v>38</v>
      </c>
      <c r="G100" s="19">
        <v>9653790281</v>
      </c>
      <c r="H100" s="205">
        <v>245190</v>
      </c>
      <c r="I100" s="380">
        <v>5000</v>
      </c>
      <c r="J100" s="207">
        <f>H100-I100-N100</f>
        <v>240190</v>
      </c>
      <c r="K100" s="208">
        <v>17399</v>
      </c>
      <c r="L100" s="19" t="s">
        <v>66</v>
      </c>
    </row>
    <row r="101" spans="1:66">
      <c r="A101" s="19" t="s">
        <v>24</v>
      </c>
      <c r="B101" s="238" t="s">
        <v>25</v>
      </c>
      <c r="C101" s="203">
        <v>44091</v>
      </c>
      <c r="D101" t="s">
        <v>285</v>
      </c>
      <c r="E101" s="19" t="s">
        <v>286</v>
      </c>
      <c r="F101" s="19">
        <v>34</v>
      </c>
      <c r="G101" s="19">
        <v>9364818289</v>
      </c>
      <c r="H101" s="205">
        <v>318400</v>
      </c>
      <c r="I101" s="240">
        <v>90000</v>
      </c>
      <c r="J101" s="207">
        <f>H101-I101-N101-P101-R101-T101-V101-X101-Z101-AB101-AD101</f>
        <v>228400</v>
      </c>
      <c r="K101" s="208">
        <v>11600</v>
      </c>
      <c r="L101" s="19" t="s">
        <v>30</v>
      </c>
      <c r="M101" s="209"/>
      <c r="N101" s="216"/>
    </row>
    <row r="102" spans="1:66">
      <c r="A102" s="19" t="s">
        <v>24</v>
      </c>
      <c r="B102" s="213" t="s">
        <v>40</v>
      </c>
      <c r="C102" s="203">
        <v>44074</v>
      </c>
      <c r="D102" t="s">
        <v>287</v>
      </c>
      <c r="E102" s="19">
        <v>200</v>
      </c>
      <c r="F102" s="19">
        <v>28</v>
      </c>
      <c r="G102" s="19">
        <v>9352649198</v>
      </c>
      <c r="H102" s="205">
        <v>299200</v>
      </c>
      <c r="I102" s="214">
        <v>30000</v>
      </c>
      <c r="J102" s="207">
        <f>SUM(H102-I102-N102-P102-R102-T102)</f>
        <v>247600</v>
      </c>
      <c r="K102" s="208">
        <v>10800</v>
      </c>
      <c r="L102" s="19" t="s">
        <v>30</v>
      </c>
      <c r="M102" s="209">
        <v>44095</v>
      </c>
      <c r="N102" s="216">
        <v>10000</v>
      </c>
      <c r="O102" s="209">
        <v>44194</v>
      </c>
      <c r="P102" s="216">
        <v>11600</v>
      </c>
    </row>
    <row r="103" spans="1:66">
      <c r="A103" s="19" t="s">
        <v>24</v>
      </c>
      <c r="B103" s="238" t="s">
        <v>25</v>
      </c>
      <c r="C103" s="203">
        <v>44104</v>
      </c>
      <c r="D103" t="s">
        <v>288</v>
      </c>
      <c r="E103" s="19">
        <v>278</v>
      </c>
      <c r="F103" s="19">
        <v>20</v>
      </c>
      <c r="G103" s="19">
        <v>9272803581</v>
      </c>
      <c r="H103" s="205">
        <v>415888</v>
      </c>
      <c r="I103" s="240">
        <v>10000</v>
      </c>
      <c r="J103" s="207">
        <f>SUM(H103-I103-N103-P103)</f>
        <v>345288</v>
      </c>
      <c r="K103" s="208">
        <v>15012</v>
      </c>
      <c r="L103" s="19" t="s">
        <v>53</v>
      </c>
      <c r="M103" s="209">
        <v>44124</v>
      </c>
      <c r="N103" s="216">
        <v>45600</v>
      </c>
      <c r="O103" s="209">
        <v>44151</v>
      </c>
      <c r="P103" s="216">
        <v>15000</v>
      </c>
    </row>
    <row r="104" spans="1:66">
      <c r="A104" s="19">
        <v>10</v>
      </c>
      <c r="B104" s="305" t="s">
        <v>29</v>
      </c>
      <c r="C104" s="203">
        <v>44057</v>
      </c>
      <c r="D104" s="239" t="s">
        <v>176</v>
      </c>
      <c r="E104" s="19">
        <v>100</v>
      </c>
      <c r="F104" s="19">
        <v>9</v>
      </c>
      <c r="G104" s="19">
        <v>9265004935</v>
      </c>
      <c r="H104" s="205">
        <v>192800</v>
      </c>
      <c r="I104" s="306">
        <v>5000</v>
      </c>
      <c r="J104" s="207">
        <f>H104-I104-N104-P104-R104-T104-V104-X104-Z104-AB104-AD104</f>
        <v>130900</v>
      </c>
      <c r="K104" s="208"/>
      <c r="L104" s="19" t="s">
        <v>21</v>
      </c>
      <c r="M104" s="209">
        <v>44083</v>
      </c>
      <c r="N104" s="307">
        <v>15000</v>
      </c>
      <c r="O104" s="209">
        <v>44137</v>
      </c>
      <c r="P104" s="307">
        <v>5200</v>
      </c>
      <c r="Q104" s="209">
        <v>44224</v>
      </c>
      <c r="R104" s="307">
        <v>5400</v>
      </c>
      <c r="S104" s="209">
        <v>44259</v>
      </c>
      <c r="T104" s="307">
        <v>5400</v>
      </c>
      <c r="U104" s="242">
        <v>44335</v>
      </c>
      <c r="V104" s="307">
        <v>5200</v>
      </c>
      <c r="W104" s="209">
        <v>44464</v>
      </c>
      <c r="X104" s="307">
        <v>5200</v>
      </c>
      <c r="Y104" s="234">
        <v>44525</v>
      </c>
      <c r="Z104" s="308">
        <v>5100</v>
      </c>
      <c r="AA104" s="244">
        <v>44608</v>
      </c>
      <c r="AB104" s="308">
        <v>5200</v>
      </c>
      <c r="AC104" s="244">
        <v>44910</v>
      </c>
      <c r="AD104" s="308">
        <v>5200</v>
      </c>
    </row>
  </sheetData>
  <mergeCells count="16">
    <mergeCell ref="AC71:AE71"/>
    <mergeCell ref="W72:Y72"/>
    <mergeCell ref="Q73:S73"/>
    <mergeCell ref="AY89:BB89"/>
    <mergeCell ref="AM90:AP90"/>
    <mergeCell ref="S74:V74"/>
    <mergeCell ref="Q75:U75"/>
    <mergeCell ref="O76:R76"/>
    <mergeCell ref="S76:U76"/>
    <mergeCell ref="Y77:AB77"/>
    <mergeCell ref="S70:U70"/>
    <mergeCell ref="C63:D63"/>
    <mergeCell ref="O64:P64"/>
    <mergeCell ref="Q65:R65"/>
    <mergeCell ref="S66:T66"/>
    <mergeCell ref="U68:V68"/>
  </mergeCells>
  <printOptions gridLines="1"/>
  <pageMargins left="0.25" right="0.25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I95"/>
  <sheetViews>
    <sheetView topLeftCell="A20" workbookViewId="0">
      <selection activeCell="AS26" sqref="AS26"/>
    </sheetView>
  </sheetViews>
  <sheetFormatPr defaultColWidth="9.140625" defaultRowHeight="12.75"/>
  <cols>
    <col min="1" max="1" width="5.85546875" style="3" customWidth="1"/>
    <col min="2" max="2" width="13.85546875" style="3" customWidth="1"/>
    <col min="3" max="3" width="12" style="3" customWidth="1"/>
    <col min="4" max="4" width="30.85546875" style="15" customWidth="1"/>
    <col min="5" max="5" width="8.28515625" style="3" customWidth="1"/>
    <col min="6" max="6" width="5.5703125" style="3" customWidth="1"/>
    <col min="7" max="7" width="4.5703125" style="3" customWidth="1"/>
    <col min="8" max="8" width="14.28515625" style="3" customWidth="1"/>
    <col min="9" max="9" width="10.7109375" style="3" customWidth="1"/>
    <col min="10" max="10" width="10" style="455" customWidth="1"/>
    <col min="11" max="11" width="10.7109375" style="164" customWidth="1"/>
    <col min="12" max="12" width="10.140625" style="457" customWidth="1"/>
    <col min="13" max="13" width="11" style="3" customWidth="1"/>
    <col min="14" max="14" width="11.140625" style="15" customWidth="1"/>
    <col min="15" max="15" width="9.140625" style="455"/>
    <col min="16" max="16" width="11.140625" style="15" customWidth="1"/>
    <col min="17" max="17" width="9.7109375" style="455" customWidth="1"/>
    <col min="18" max="18" width="11.140625" style="15" customWidth="1"/>
    <col min="19" max="19" width="9.7109375" style="455" customWidth="1"/>
    <col min="20" max="20" width="11" style="15" customWidth="1"/>
    <col min="21" max="21" width="9.28515625" style="15" customWidth="1"/>
    <col min="22" max="22" width="12" style="15" customWidth="1"/>
    <col min="23" max="23" width="10.7109375" style="15" customWidth="1"/>
    <col min="24" max="24" width="11.5703125" style="15" customWidth="1"/>
    <col min="25" max="25" width="9.7109375" style="15" customWidth="1"/>
    <col min="26" max="26" width="11.7109375" style="15" customWidth="1"/>
    <col min="27" max="27" width="8.42578125" style="15" customWidth="1"/>
    <col min="28" max="28" width="11.28515625" style="15" customWidth="1"/>
    <col min="29" max="29" width="10.140625" style="15" customWidth="1"/>
    <col min="30" max="30" width="11.42578125" style="15" customWidth="1"/>
    <col min="31" max="31" width="7.85546875" style="15" customWidth="1"/>
    <col min="32" max="32" width="10.42578125" style="15" customWidth="1"/>
    <col min="33" max="33" width="8" style="15" customWidth="1"/>
    <col min="34" max="34" width="11.5703125" style="15" customWidth="1"/>
    <col min="35" max="35" width="8" style="15" customWidth="1"/>
    <col min="36" max="36" width="11.5703125" style="15" customWidth="1"/>
    <col min="37" max="37" width="8" style="15" customWidth="1"/>
    <col min="38" max="38" width="12.140625" style="15" customWidth="1"/>
    <col min="39" max="39" width="9.140625" style="15"/>
    <col min="40" max="40" width="12" style="15" customWidth="1"/>
    <col min="41" max="41" width="9.140625" style="15"/>
    <col min="42" max="42" width="11" style="15" customWidth="1"/>
    <col min="43" max="43" width="9.140625" style="15"/>
    <col min="44" max="44" width="10.5703125" style="15" customWidth="1"/>
    <col min="45" max="45" width="9.140625" style="15"/>
    <col min="46" max="46" width="12.7109375" style="15" customWidth="1"/>
    <col min="47" max="47" width="9.140625" style="15"/>
    <col min="48" max="48" width="10.85546875" style="15" customWidth="1"/>
    <col min="49" max="49" width="9.140625" style="15"/>
    <col min="50" max="50" width="11.85546875" style="15" customWidth="1"/>
    <col min="51" max="51" width="9.140625" style="15"/>
    <col min="52" max="52" width="12.28515625" style="15" customWidth="1"/>
    <col min="53" max="53" width="9.140625" style="15"/>
    <col min="54" max="54" width="10.5703125" style="15" customWidth="1"/>
    <col min="55" max="55" width="9.140625" style="15"/>
    <col min="56" max="56" width="10.85546875" style="15" customWidth="1"/>
    <col min="57" max="57" width="9.140625" style="15"/>
    <col min="58" max="58" width="11.28515625" style="15" customWidth="1"/>
    <col min="59" max="59" width="9.140625" style="15"/>
    <col min="60" max="60" width="11.5703125" style="15" customWidth="1"/>
    <col min="61" max="61" width="9.140625" style="15"/>
    <col min="62" max="62" width="11.42578125" style="15" customWidth="1"/>
    <col min="63" max="63" width="9.140625" style="15"/>
    <col min="64" max="64" width="11.140625" style="15" customWidth="1"/>
    <col min="65" max="65" width="9.140625" style="15"/>
    <col min="66" max="66" width="11.140625" style="15" customWidth="1"/>
    <col min="67" max="67" width="9.140625" style="15"/>
    <col min="68" max="68" width="13.140625" style="15" customWidth="1"/>
    <col min="69" max="69" width="9.140625" style="15"/>
    <col min="70" max="70" width="13.28515625" style="15" customWidth="1"/>
    <col min="71" max="71" width="9.140625" style="15"/>
    <col min="72" max="72" width="11" style="15" customWidth="1"/>
    <col min="73" max="73" width="9.140625" style="15"/>
    <col min="74" max="74" width="11.7109375" style="15" customWidth="1"/>
    <col min="75" max="75" width="9.140625" style="15"/>
    <col min="76" max="76" width="12.28515625" style="15" customWidth="1"/>
    <col min="77" max="77" width="9.140625" style="15"/>
    <col min="78" max="78" width="12" style="15" customWidth="1"/>
    <col min="79" max="79" width="9.140625" style="15"/>
    <col min="80" max="80" width="11.140625" style="15" customWidth="1"/>
    <col min="81" max="81" width="9.140625" style="15"/>
    <col min="82" max="82" width="12.5703125" style="15" customWidth="1"/>
    <col min="83" max="83" width="9.140625" style="15"/>
    <col min="84" max="84" width="11" style="15" customWidth="1"/>
    <col min="85" max="16384" width="9.140625" style="15"/>
  </cols>
  <sheetData>
    <row r="1" spans="1:39">
      <c r="A1" s="3" t="s">
        <v>2</v>
      </c>
      <c r="B1" s="1" t="s">
        <v>4</v>
      </c>
      <c r="C1" s="1" t="s">
        <v>0</v>
      </c>
      <c r="D1" s="2" t="s">
        <v>1</v>
      </c>
      <c r="E1" s="1" t="s">
        <v>3</v>
      </c>
      <c r="F1" s="1" t="s">
        <v>5</v>
      </c>
      <c r="G1" s="1" t="s">
        <v>6</v>
      </c>
      <c r="H1" s="1" t="s">
        <v>7</v>
      </c>
      <c r="I1" s="4" t="s">
        <v>8</v>
      </c>
      <c r="J1" s="452" t="s">
        <v>9</v>
      </c>
      <c r="K1" s="6" t="s">
        <v>10</v>
      </c>
      <c r="L1" s="453" t="s">
        <v>11</v>
      </c>
      <c r="M1" s="4" t="s">
        <v>12</v>
      </c>
      <c r="N1" s="4"/>
      <c r="O1" s="454"/>
      <c r="P1" s="10"/>
      <c r="Q1" s="454"/>
      <c r="R1" s="11"/>
      <c r="T1" s="11"/>
      <c r="U1" s="152"/>
      <c r="V1" s="62"/>
      <c r="W1" s="152"/>
      <c r="X1" s="62"/>
      <c r="Y1" s="152"/>
      <c r="AA1" s="456"/>
      <c r="AC1" s="456"/>
      <c r="AE1" s="456"/>
      <c r="AG1" s="456"/>
    </row>
    <row r="2" spans="1:39" ht="9.75" customHeight="1"/>
    <row r="3" spans="1:39">
      <c r="A3" s="3">
        <v>7</v>
      </c>
      <c r="B3" s="458" t="s">
        <v>289</v>
      </c>
      <c r="C3" s="16">
        <v>45066</v>
      </c>
      <c r="D3" s="26" t="s">
        <v>290</v>
      </c>
      <c r="E3" s="9" t="s">
        <v>85</v>
      </c>
      <c r="F3" s="9">
        <v>2</v>
      </c>
      <c r="G3" s="9">
        <v>55</v>
      </c>
      <c r="H3" s="9">
        <v>9363349162</v>
      </c>
      <c r="I3" s="20">
        <v>178400</v>
      </c>
      <c r="J3" s="459">
        <v>33200</v>
      </c>
      <c r="K3" s="29">
        <f>I3-J3-O3-Q3-S3-U3-W3-Y3-AA3-AC3-AE3-AG3-AI3-AK3</f>
        <v>0</v>
      </c>
      <c r="L3" s="460">
        <v>6600</v>
      </c>
      <c r="M3" s="10" t="s">
        <v>53</v>
      </c>
      <c r="N3" s="30">
        <v>45103</v>
      </c>
      <c r="O3" s="459">
        <v>9000</v>
      </c>
      <c r="P3" s="30">
        <v>45271</v>
      </c>
      <c r="Q3" s="459">
        <v>19000</v>
      </c>
      <c r="R3" s="37">
        <v>45370</v>
      </c>
      <c r="S3" s="461">
        <v>24000</v>
      </c>
      <c r="T3" s="37">
        <v>45454</v>
      </c>
      <c r="U3" s="462">
        <v>7000</v>
      </c>
      <c r="V3" s="80">
        <v>45488</v>
      </c>
      <c r="W3" s="463">
        <v>10000</v>
      </c>
      <c r="X3" s="80">
        <v>45513</v>
      </c>
      <c r="Y3" s="463">
        <v>13000</v>
      </c>
      <c r="Z3" s="56">
        <v>45531</v>
      </c>
      <c r="AA3" s="462">
        <v>8000</v>
      </c>
      <c r="AB3" s="56">
        <v>45593</v>
      </c>
      <c r="AC3" s="464">
        <v>10000</v>
      </c>
      <c r="AD3" s="56">
        <v>45638</v>
      </c>
      <c r="AE3" s="465">
        <v>15000</v>
      </c>
      <c r="AF3" s="56">
        <v>45670</v>
      </c>
      <c r="AG3" s="465">
        <v>11000</v>
      </c>
      <c r="AH3" s="56">
        <v>45705</v>
      </c>
      <c r="AI3" s="462">
        <v>10000</v>
      </c>
      <c r="AJ3" s="56">
        <v>45775</v>
      </c>
      <c r="AK3" s="462">
        <v>9200</v>
      </c>
      <c r="AL3" s="522" t="s">
        <v>17</v>
      </c>
      <c r="AM3" s="522">
        <v>500</v>
      </c>
    </row>
    <row r="4" spans="1:39">
      <c r="A4" s="3">
        <v>7</v>
      </c>
      <c r="B4" s="466" t="s">
        <v>152</v>
      </c>
      <c r="C4" s="16">
        <v>45471</v>
      </c>
      <c r="D4" s="26" t="s">
        <v>291</v>
      </c>
      <c r="E4" s="9">
        <v>200</v>
      </c>
      <c r="F4" s="9">
        <v>2</v>
      </c>
      <c r="G4" s="9">
        <v>52</v>
      </c>
      <c r="H4" s="9">
        <v>90644718467</v>
      </c>
      <c r="I4" s="20">
        <v>300000</v>
      </c>
      <c r="J4" s="467">
        <v>64000</v>
      </c>
      <c r="K4" s="29">
        <f>I4-J4-O4-Q4-S4-U4-W4-Y4</f>
        <v>0</v>
      </c>
      <c r="L4" s="460"/>
      <c r="M4" s="10" t="s">
        <v>53</v>
      </c>
      <c r="N4" s="30">
        <v>45471</v>
      </c>
      <c r="O4" s="468">
        <v>19000</v>
      </c>
      <c r="P4" s="30">
        <v>45689</v>
      </c>
      <c r="Q4" s="468">
        <v>50000</v>
      </c>
      <c r="R4" s="37">
        <v>45705</v>
      </c>
      <c r="S4" s="469">
        <v>50000</v>
      </c>
      <c r="T4" s="37">
        <v>45729</v>
      </c>
      <c r="U4" s="470">
        <v>30000</v>
      </c>
      <c r="V4" s="80">
        <v>45860</v>
      </c>
      <c r="W4" s="798">
        <v>50000</v>
      </c>
      <c r="X4" s="80">
        <v>45860</v>
      </c>
      <c r="Y4" s="798">
        <v>37000</v>
      </c>
      <c r="Z4" s="857" t="s">
        <v>17</v>
      </c>
      <c r="AA4" s="858">
        <v>1500</v>
      </c>
      <c r="AC4" s="456"/>
      <c r="AE4" s="456"/>
      <c r="AG4" s="456"/>
    </row>
    <row r="5" spans="1:39">
      <c r="A5" s="3">
        <v>7</v>
      </c>
      <c r="B5" s="32" t="s">
        <v>25</v>
      </c>
      <c r="C5" s="16">
        <v>45349</v>
      </c>
      <c r="D5" s="26" t="s">
        <v>292</v>
      </c>
      <c r="E5" s="9">
        <v>200</v>
      </c>
      <c r="F5" s="9"/>
      <c r="G5" s="9">
        <v>31</v>
      </c>
      <c r="H5" s="9">
        <v>9263755628</v>
      </c>
      <c r="I5" s="20">
        <v>385600</v>
      </c>
      <c r="J5" s="471">
        <v>40000</v>
      </c>
      <c r="K5" s="29">
        <f>I5-J5-O5-Q5-S5-U5-W5-Y5-AA5-AC5-AE5-AG5-AI5-AK5</f>
        <v>162400</v>
      </c>
      <c r="L5" s="460">
        <v>9600</v>
      </c>
      <c r="M5" s="10" t="s">
        <v>69</v>
      </c>
      <c r="N5" s="30">
        <v>45398</v>
      </c>
      <c r="O5" s="471">
        <v>9600</v>
      </c>
      <c r="P5" s="30">
        <v>45490</v>
      </c>
      <c r="Q5" s="471">
        <v>28800</v>
      </c>
      <c r="R5" s="37">
        <v>45582</v>
      </c>
      <c r="S5" s="472">
        <v>19200</v>
      </c>
      <c r="T5" s="37">
        <v>45608</v>
      </c>
      <c r="U5" s="473">
        <v>19200</v>
      </c>
      <c r="V5" s="80">
        <v>45716</v>
      </c>
      <c r="W5" s="473">
        <v>9600</v>
      </c>
      <c r="X5" s="80">
        <v>45743</v>
      </c>
      <c r="Y5" s="473">
        <v>19200</v>
      </c>
      <c r="Z5" s="56">
        <v>45807</v>
      </c>
      <c r="AA5" s="546">
        <v>19200</v>
      </c>
      <c r="AB5" s="56">
        <v>45869</v>
      </c>
      <c r="AC5" s="546">
        <v>9600</v>
      </c>
      <c r="AD5" s="56">
        <v>45902</v>
      </c>
      <c r="AE5" s="546">
        <v>10000</v>
      </c>
      <c r="AF5" s="56">
        <v>45922</v>
      </c>
      <c r="AG5" s="546">
        <v>19200</v>
      </c>
      <c r="AH5" s="56">
        <v>45993</v>
      </c>
      <c r="AI5" s="548">
        <v>10000</v>
      </c>
      <c r="AJ5" s="56">
        <v>46086</v>
      </c>
      <c r="AK5" s="548">
        <v>9600</v>
      </c>
    </row>
    <row r="6" spans="1:39">
      <c r="A6" s="3">
        <v>3</v>
      </c>
      <c r="B6" s="474" t="s">
        <v>52</v>
      </c>
      <c r="C6" s="130" t="s">
        <v>293</v>
      </c>
      <c r="D6" s="26" t="s">
        <v>294</v>
      </c>
      <c r="E6" s="9">
        <v>200</v>
      </c>
      <c r="F6" s="9">
        <v>2</v>
      </c>
      <c r="G6" s="9">
        <v>50</v>
      </c>
      <c r="H6" s="9">
        <v>9709805416</v>
      </c>
      <c r="I6" s="20">
        <v>240000</v>
      </c>
      <c r="J6" s="475">
        <v>150000</v>
      </c>
      <c r="K6" s="29">
        <f>I6-J6-O6-Q6-S6-U6-W6</f>
        <v>0</v>
      </c>
      <c r="L6" s="460">
        <v>7500</v>
      </c>
      <c r="M6" s="10" t="s">
        <v>66</v>
      </c>
      <c r="N6" s="30">
        <v>45245</v>
      </c>
      <c r="O6" s="475">
        <v>28000</v>
      </c>
      <c r="P6" s="30">
        <v>45568</v>
      </c>
      <c r="Q6" s="475">
        <v>10000</v>
      </c>
      <c r="R6" s="37">
        <v>45603</v>
      </c>
      <c r="S6" s="476">
        <v>10000</v>
      </c>
      <c r="T6" s="37">
        <v>45694</v>
      </c>
      <c r="U6" s="477">
        <v>10000</v>
      </c>
      <c r="V6" s="80">
        <v>45757</v>
      </c>
      <c r="W6" s="756">
        <v>32000</v>
      </c>
      <c r="X6" s="759" t="s">
        <v>17</v>
      </c>
      <c r="Y6" s="760">
        <v>1000</v>
      </c>
      <c r="AA6" s="456"/>
      <c r="AC6" s="456"/>
      <c r="AE6" s="456"/>
      <c r="AG6" s="456"/>
    </row>
    <row r="7" spans="1:39" s="769" customFormat="1">
      <c r="A7" s="828">
        <v>7</v>
      </c>
      <c r="B7" s="827" t="s">
        <v>681</v>
      </c>
      <c r="C7" s="821">
        <v>45964</v>
      </c>
      <c r="D7" s="810" t="s">
        <v>679</v>
      </c>
      <c r="E7" s="809">
        <v>200</v>
      </c>
      <c r="F7" s="809"/>
      <c r="G7" s="809">
        <v>49</v>
      </c>
      <c r="H7" s="809">
        <v>9973655704</v>
      </c>
      <c r="I7" s="826">
        <v>309680</v>
      </c>
      <c r="J7" s="882">
        <v>145500</v>
      </c>
      <c r="K7" s="813">
        <f>I7-J7-O7-S7</f>
        <v>116180</v>
      </c>
      <c r="L7" s="814">
        <v>12015</v>
      </c>
      <c r="M7" s="825" t="s">
        <v>680</v>
      </c>
      <c r="N7" s="881">
        <v>45964</v>
      </c>
      <c r="O7" s="882">
        <v>36000</v>
      </c>
      <c r="P7" s="140" t="s">
        <v>17</v>
      </c>
      <c r="Q7" s="610">
        <v>1500</v>
      </c>
      <c r="R7" s="822">
        <v>46211</v>
      </c>
      <c r="S7" s="808">
        <v>12000</v>
      </c>
      <c r="T7" s="822"/>
      <c r="U7" s="774"/>
      <c r="V7" s="823"/>
      <c r="W7" s="824"/>
      <c r="X7" s="823"/>
      <c r="Y7" s="824"/>
      <c r="AA7" s="820"/>
      <c r="AC7" s="820"/>
      <c r="AE7" s="820"/>
      <c r="AG7" s="820"/>
    </row>
    <row r="8" spans="1:39">
      <c r="A8" s="3">
        <v>3</v>
      </c>
      <c r="B8" s="90" t="s">
        <v>52</v>
      </c>
      <c r="C8" s="479">
        <v>45020</v>
      </c>
      <c r="D8" s="26" t="s">
        <v>295</v>
      </c>
      <c r="E8" s="9">
        <v>200</v>
      </c>
      <c r="F8" s="9"/>
      <c r="G8" s="9">
        <v>29</v>
      </c>
      <c r="H8" s="9">
        <v>9555541955</v>
      </c>
      <c r="I8" s="20">
        <v>357200</v>
      </c>
      <c r="J8" s="475">
        <v>129200</v>
      </c>
      <c r="K8" s="29">
        <f>I8-J8-O8-Q8-S8-U8-W8-Y8-AA8-AC8</f>
        <v>157000</v>
      </c>
      <c r="L8" s="460">
        <v>3900</v>
      </c>
      <c r="M8" s="10" t="s">
        <v>296</v>
      </c>
      <c r="N8" s="30">
        <v>45132</v>
      </c>
      <c r="O8" s="475">
        <v>5000</v>
      </c>
      <c r="P8" s="30">
        <v>45216</v>
      </c>
      <c r="Q8" s="475">
        <v>8000</v>
      </c>
      <c r="R8" s="37">
        <v>45299</v>
      </c>
      <c r="S8" s="476">
        <v>10500</v>
      </c>
      <c r="T8" s="37">
        <v>45336</v>
      </c>
      <c r="U8" s="480">
        <v>10000</v>
      </c>
      <c r="V8" s="80">
        <v>45401</v>
      </c>
      <c r="W8" s="477">
        <v>8500</v>
      </c>
      <c r="X8" s="80">
        <v>45495</v>
      </c>
      <c r="Y8" s="477">
        <v>15000</v>
      </c>
      <c r="Z8" s="56">
        <v>45707</v>
      </c>
      <c r="AA8" s="481">
        <v>7000</v>
      </c>
      <c r="AB8" s="56">
        <v>45966</v>
      </c>
      <c r="AC8" s="830">
        <v>7000</v>
      </c>
      <c r="AE8" s="456"/>
      <c r="AG8" s="456"/>
    </row>
    <row r="9" spans="1:39">
      <c r="A9" s="3">
        <v>7</v>
      </c>
      <c r="B9" s="482" t="s">
        <v>236</v>
      </c>
      <c r="C9" s="479">
        <v>44442</v>
      </c>
      <c r="D9" s="17" t="s">
        <v>297</v>
      </c>
      <c r="E9" s="9">
        <v>200</v>
      </c>
      <c r="F9" s="9">
        <v>2</v>
      </c>
      <c r="G9" s="9">
        <v>45</v>
      </c>
      <c r="H9" s="9">
        <v>9074913903</v>
      </c>
      <c r="I9" s="20">
        <v>240000</v>
      </c>
      <c r="J9" s="483">
        <v>180000</v>
      </c>
      <c r="K9" s="29">
        <f>SUM(I9-J9-O9-Q9-S9-U9)</f>
        <v>0</v>
      </c>
      <c r="L9" s="460" t="s">
        <v>15</v>
      </c>
      <c r="M9" s="3" t="s">
        <v>298</v>
      </c>
      <c r="N9" s="30">
        <v>44442</v>
      </c>
      <c r="O9" s="483">
        <v>10000</v>
      </c>
      <c r="P9" s="30">
        <v>44579</v>
      </c>
      <c r="Q9" s="483">
        <v>25000</v>
      </c>
      <c r="R9" s="37">
        <v>44617</v>
      </c>
      <c r="S9" s="484">
        <v>15000</v>
      </c>
      <c r="T9" s="37">
        <v>44631</v>
      </c>
      <c r="U9" s="485">
        <v>10000</v>
      </c>
      <c r="V9" s="99" t="s">
        <v>17</v>
      </c>
      <c r="W9" s="486">
        <v>1500</v>
      </c>
      <c r="X9" s="841" t="s">
        <v>232</v>
      </c>
      <c r="Y9" s="842">
        <v>15000</v>
      </c>
      <c r="AA9" s="456"/>
      <c r="AC9" s="456"/>
      <c r="AE9" s="456"/>
      <c r="AG9" s="456"/>
    </row>
    <row r="10" spans="1:39">
      <c r="A10" s="3">
        <v>3</v>
      </c>
      <c r="B10" s="487" t="s">
        <v>52</v>
      </c>
      <c r="C10" s="479">
        <v>45007</v>
      </c>
      <c r="D10" s="26" t="s">
        <v>299</v>
      </c>
      <c r="E10" s="9">
        <v>200</v>
      </c>
      <c r="F10" s="9">
        <v>2</v>
      </c>
      <c r="G10" s="9">
        <v>44</v>
      </c>
      <c r="H10" s="9">
        <v>9074913903</v>
      </c>
      <c r="I10" s="20">
        <v>312800</v>
      </c>
      <c r="J10" s="475">
        <v>5000</v>
      </c>
      <c r="K10" s="29">
        <f>I10-J10-O10-Q10</f>
        <v>247800</v>
      </c>
      <c r="L10" s="460">
        <v>6000</v>
      </c>
      <c r="M10" s="3" t="s">
        <v>53</v>
      </c>
      <c r="N10" s="30">
        <v>45045</v>
      </c>
      <c r="O10" s="475">
        <v>45000</v>
      </c>
      <c r="P10" s="30">
        <v>45937</v>
      </c>
      <c r="Q10" s="829">
        <v>15000</v>
      </c>
      <c r="R10" s="843"/>
      <c r="S10" s="808"/>
      <c r="T10" s="37"/>
      <c r="U10" s="489"/>
      <c r="V10" s="62"/>
      <c r="W10" s="478"/>
      <c r="X10" s="62"/>
      <c r="Y10" s="152"/>
      <c r="AA10" s="456"/>
      <c r="AC10" s="456"/>
      <c r="AE10" s="456"/>
      <c r="AG10" s="456"/>
    </row>
    <row r="11" spans="1:39">
      <c r="A11" s="3">
        <v>7</v>
      </c>
      <c r="B11" s="31" t="s">
        <v>300</v>
      </c>
      <c r="C11" s="479">
        <v>45365</v>
      </c>
      <c r="D11" s="26" t="s">
        <v>301</v>
      </c>
      <c r="E11" s="9">
        <v>200</v>
      </c>
      <c r="F11" s="9"/>
      <c r="G11" s="9">
        <v>57</v>
      </c>
      <c r="H11" s="9">
        <v>9483972315</v>
      </c>
      <c r="I11" s="20">
        <v>300000</v>
      </c>
      <c r="J11" s="471">
        <v>20000</v>
      </c>
      <c r="K11" s="29">
        <f>I11-J11-O11-Q11-S11-U11</f>
        <v>0</v>
      </c>
      <c r="L11" s="460">
        <v>6000</v>
      </c>
      <c r="M11" s="3" t="s">
        <v>302</v>
      </c>
      <c r="N11" s="30">
        <v>45412</v>
      </c>
      <c r="O11" s="471">
        <v>20000</v>
      </c>
      <c r="P11" s="30">
        <v>45453</v>
      </c>
      <c r="Q11" s="471">
        <v>20000</v>
      </c>
      <c r="R11" s="37">
        <v>45462</v>
      </c>
      <c r="S11" s="472">
        <v>5000</v>
      </c>
      <c r="T11" s="37">
        <v>45519</v>
      </c>
      <c r="U11" s="490">
        <v>235000</v>
      </c>
      <c r="V11" s="62"/>
      <c r="W11" s="478"/>
      <c r="X11" s="62"/>
      <c r="Y11" s="152"/>
      <c r="AA11" s="456"/>
      <c r="AC11" s="456"/>
      <c r="AE11" s="456"/>
      <c r="AG11" s="456"/>
    </row>
    <row r="12" spans="1:39">
      <c r="A12" s="3">
        <v>7</v>
      </c>
      <c r="B12" s="491" t="s">
        <v>289</v>
      </c>
      <c r="C12" s="479">
        <v>45117</v>
      </c>
      <c r="D12" s="26" t="s">
        <v>303</v>
      </c>
      <c r="E12" s="9">
        <v>200</v>
      </c>
      <c r="F12" s="9"/>
      <c r="G12" s="9">
        <v>47</v>
      </c>
      <c r="H12" s="9">
        <v>9975217334</v>
      </c>
      <c r="I12" s="20">
        <v>519840</v>
      </c>
      <c r="J12" s="467"/>
      <c r="K12" s="29">
        <f>I12-O12-Q12-S12</f>
        <v>481602</v>
      </c>
      <c r="L12" s="460">
        <v>4232</v>
      </c>
      <c r="M12" s="3" t="s">
        <v>304</v>
      </c>
      <c r="N12" s="30">
        <v>45117</v>
      </c>
      <c r="O12" s="492">
        <v>17238</v>
      </c>
      <c r="P12" s="30">
        <v>45296</v>
      </c>
      <c r="Q12" s="492">
        <v>6000</v>
      </c>
      <c r="R12" s="37">
        <v>45422</v>
      </c>
      <c r="S12" s="493">
        <v>15000</v>
      </c>
      <c r="T12" s="37">
        <v>45555</v>
      </c>
      <c r="U12" s="494">
        <v>5000</v>
      </c>
      <c r="V12" s="62"/>
      <c r="W12" s="478"/>
      <c r="X12" s="62"/>
      <c r="Y12" s="152"/>
      <c r="AA12" s="456"/>
      <c r="AC12" s="456"/>
      <c r="AE12" s="456"/>
      <c r="AG12" s="456"/>
    </row>
    <row r="13" spans="1:39">
      <c r="A13" s="3">
        <v>7</v>
      </c>
      <c r="B13" s="564" t="s">
        <v>662</v>
      </c>
      <c r="C13" s="495">
        <v>44711</v>
      </c>
      <c r="D13" s="496" t="s">
        <v>305</v>
      </c>
      <c r="E13" s="9">
        <v>200</v>
      </c>
      <c r="F13" s="9">
        <v>1</v>
      </c>
      <c r="G13" s="9">
        <v>59</v>
      </c>
      <c r="H13" s="9">
        <v>9530020121</v>
      </c>
      <c r="I13" s="20">
        <v>349200</v>
      </c>
      <c r="J13" s="467" t="s">
        <v>15</v>
      </c>
      <c r="K13" s="29">
        <f>I13-O13-Q13-S13-U13-W13-Y13-AA13-AC13-AE13-AG13</f>
        <v>233000</v>
      </c>
      <c r="L13" s="460">
        <v>9700</v>
      </c>
      <c r="M13" s="3" t="s">
        <v>306</v>
      </c>
      <c r="N13" s="30">
        <v>44711</v>
      </c>
      <c r="O13" s="459">
        <v>9700</v>
      </c>
      <c r="P13" s="30">
        <v>44746</v>
      </c>
      <c r="Q13" s="459">
        <v>9700</v>
      </c>
      <c r="R13" s="37">
        <v>44781</v>
      </c>
      <c r="S13" s="461">
        <v>9700</v>
      </c>
      <c r="T13" s="37">
        <v>44812</v>
      </c>
      <c r="U13" s="463">
        <v>9700</v>
      </c>
      <c r="V13" s="80">
        <v>44851</v>
      </c>
      <c r="W13" s="463">
        <v>9700</v>
      </c>
      <c r="X13" s="80">
        <v>45008</v>
      </c>
      <c r="Y13" s="497">
        <v>9700</v>
      </c>
      <c r="Z13" s="56">
        <v>45054</v>
      </c>
      <c r="AA13" s="465">
        <v>5000</v>
      </c>
      <c r="AB13" s="56">
        <v>45107</v>
      </c>
      <c r="AC13" s="465">
        <v>3000</v>
      </c>
      <c r="AD13" s="765">
        <v>45806</v>
      </c>
      <c r="AE13" s="465">
        <v>35000</v>
      </c>
      <c r="AF13" s="765">
        <v>45807</v>
      </c>
      <c r="AG13" s="465">
        <v>15000</v>
      </c>
    </row>
    <row r="14" spans="1:39">
      <c r="A14" s="3">
        <v>7</v>
      </c>
      <c r="B14" s="27" t="s">
        <v>20</v>
      </c>
      <c r="C14" s="145">
        <v>44383</v>
      </c>
      <c r="D14" s="17" t="s">
        <v>307</v>
      </c>
      <c r="E14" s="9">
        <v>400</v>
      </c>
      <c r="F14" s="9">
        <v>1</v>
      </c>
      <c r="G14" s="9">
        <v>2</v>
      </c>
      <c r="H14" s="9">
        <v>9679622087</v>
      </c>
      <c r="I14" s="20">
        <v>570000</v>
      </c>
      <c r="J14" s="459">
        <v>5000</v>
      </c>
      <c r="K14" s="29">
        <f>SUM(I14-J14-O14-Q14-S14)</f>
        <v>0</v>
      </c>
      <c r="L14" s="460">
        <v>26400</v>
      </c>
      <c r="M14" s="10" t="s">
        <v>16</v>
      </c>
      <c r="N14" s="30">
        <v>44503</v>
      </c>
      <c r="O14" s="459">
        <v>10000</v>
      </c>
      <c r="P14" s="30">
        <v>44578</v>
      </c>
      <c r="Q14" s="459">
        <v>329000</v>
      </c>
      <c r="R14" s="37">
        <v>44594</v>
      </c>
      <c r="S14" s="461">
        <v>226000</v>
      </c>
      <c r="T14" s="11"/>
      <c r="U14" s="152"/>
      <c r="V14" s="62"/>
      <c r="W14" s="152"/>
      <c r="X14" s="62"/>
      <c r="Y14" s="152"/>
      <c r="AA14" s="456"/>
      <c r="AC14" s="456"/>
      <c r="AE14" s="456"/>
      <c r="AG14" s="456"/>
    </row>
    <row r="15" spans="1:39">
      <c r="A15" s="3">
        <v>7</v>
      </c>
      <c r="B15" s="27" t="s">
        <v>20</v>
      </c>
      <c r="C15" s="145">
        <v>44901</v>
      </c>
      <c r="D15" s="26" t="s">
        <v>308</v>
      </c>
      <c r="E15" s="9">
        <v>200</v>
      </c>
      <c r="F15" s="9">
        <v>1</v>
      </c>
      <c r="G15" s="9">
        <v>33</v>
      </c>
      <c r="H15" s="9">
        <v>9757426007</v>
      </c>
      <c r="I15" s="20">
        <v>349200</v>
      </c>
      <c r="J15" s="467"/>
      <c r="K15" s="29">
        <f>I15-O15-Q15-S15-U15-W15-Y15</f>
        <v>304200</v>
      </c>
      <c r="L15" s="460">
        <v>9700</v>
      </c>
      <c r="M15" s="10" t="s">
        <v>306</v>
      </c>
      <c r="N15" s="30">
        <v>44901</v>
      </c>
      <c r="O15" s="459">
        <v>5000</v>
      </c>
      <c r="P15" s="30">
        <v>44944</v>
      </c>
      <c r="Q15" s="459">
        <v>5000</v>
      </c>
      <c r="R15" s="37">
        <v>45128</v>
      </c>
      <c r="S15" s="461">
        <v>10000</v>
      </c>
      <c r="T15" s="37">
        <v>45223</v>
      </c>
      <c r="U15" s="462">
        <v>5000</v>
      </c>
      <c r="V15" s="80">
        <v>45316</v>
      </c>
      <c r="W15" s="463">
        <v>10000</v>
      </c>
      <c r="X15" s="80">
        <v>45316</v>
      </c>
      <c r="Y15" s="463">
        <v>10000</v>
      </c>
      <c r="AA15" s="456"/>
      <c r="AC15" s="456"/>
      <c r="AE15" s="456"/>
      <c r="AG15" s="456"/>
    </row>
    <row r="16" spans="1:39" s="769" customFormat="1">
      <c r="A16" s="767">
        <v>7</v>
      </c>
      <c r="B16" s="116" t="s">
        <v>289</v>
      </c>
      <c r="C16" s="799">
        <v>45971</v>
      </c>
      <c r="D16" s="810" t="s">
        <v>683</v>
      </c>
      <c r="E16" s="809">
        <v>200</v>
      </c>
      <c r="F16" s="809"/>
      <c r="G16" s="809">
        <v>48</v>
      </c>
      <c r="H16" s="809">
        <v>9635436646</v>
      </c>
      <c r="I16" s="811">
        <v>472000</v>
      </c>
      <c r="J16" s="848">
        <v>20000</v>
      </c>
      <c r="K16" s="813">
        <f>I16-J16-O16-Q16-S16-U16-W16-Y16-AA16</f>
        <v>396000</v>
      </c>
      <c r="L16" s="814">
        <v>6000</v>
      </c>
      <c r="M16" s="815" t="s">
        <v>175</v>
      </c>
      <c r="N16" s="816">
        <v>45662</v>
      </c>
      <c r="O16" s="848">
        <v>20000</v>
      </c>
      <c r="P16" s="816">
        <v>46027</v>
      </c>
      <c r="Q16" s="848">
        <v>6000</v>
      </c>
      <c r="R16" s="822">
        <v>46066</v>
      </c>
      <c r="S16" s="850">
        <v>6000</v>
      </c>
      <c r="T16" s="822">
        <v>46088</v>
      </c>
      <c r="U16" s="885">
        <v>6000</v>
      </c>
      <c r="V16" s="823">
        <v>46113</v>
      </c>
      <c r="W16" s="497">
        <v>6000</v>
      </c>
      <c r="X16" s="823">
        <v>46217</v>
      </c>
      <c r="Y16" s="824">
        <v>6000</v>
      </c>
      <c r="Z16" s="773">
        <v>46242</v>
      </c>
      <c r="AA16" s="897">
        <v>6000</v>
      </c>
      <c r="AC16" s="820"/>
      <c r="AE16" s="820"/>
      <c r="AG16" s="820"/>
    </row>
    <row r="17" spans="1:69">
      <c r="A17" s="498">
        <v>7</v>
      </c>
      <c r="B17" s="498" t="s">
        <v>14</v>
      </c>
      <c r="C17" s="499">
        <v>44454</v>
      </c>
      <c r="D17" s="496" t="s">
        <v>309</v>
      </c>
      <c r="E17" s="9">
        <v>200</v>
      </c>
      <c r="F17" s="9">
        <v>1</v>
      </c>
      <c r="G17" s="9">
        <v>12</v>
      </c>
      <c r="H17" s="9">
        <v>9978221003</v>
      </c>
      <c r="I17" s="20">
        <v>349200</v>
      </c>
      <c r="J17" s="500">
        <v>10000</v>
      </c>
      <c r="K17" s="29">
        <f>I17-J17-O17-S17-U17</f>
        <v>304200</v>
      </c>
      <c r="L17" s="460" t="s">
        <v>310</v>
      </c>
      <c r="M17" s="3" t="s">
        <v>69</v>
      </c>
      <c r="N17" s="30">
        <v>44485</v>
      </c>
      <c r="O17" s="501">
        <v>10000</v>
      </c>
      <c r="P17" s="502" t="s">
        <v>26</v>
      </c>
      <c r="Q17" s="503">
        <v>500</v>
      </c>
      <c r="R17" s="37">
        <v>44548</v>
      </c>
      <c r="S17" s="504">
        <v>10000</v>
      </c>
      <c r="T17" s="37">
        <v>44635</v>
      </c>
      <c r="U17" s="505">
        <v>15000</v>
      </c>
      <c r="V17" s="62"/>
      <c r="W17" s="152"/>
      <c r="X17" s="62"/>
      <c r="Y17" s="152"/>
      <c r="AA17" s="456"/>
      <c r="AC17" s="456"/>
      <c r="AE17" s="456"/>
      <c r="AG17" s="456"/>
    </row>
    <row r="18" spans="1:69">
      <c r="A18" s="3">
        <v>7</v>
      </c>
      <c r="B18" s="147" t="s">
        <v>20</v>
      </c>
      <c r="C18" s="479">
        <v>44732</v>
      </c>
      <c r="D18" s="26" t="s">
        <v>311</v>
      </c>
      <c r="E18" s="9">
        <v>200</v>
      </c>
      <c r="F18" s="9">
        <v>1</v>
      </c>
      <c r="G18" s="9">
        <v>24</v>
      </c>
      <c r="H18" s="9">
        <v>9389833401</v>
      </c>
      <c r="I18" s="20">
        <v>356800</v>
      </c>
      <c r="J18" s="459">
        <v>30800</v>
      </c>
      <c r="K18" s="29">
        <f>I18-J18-O18-Q18-S18-U18-W18-Y18-AA18-AC18-AE18-AG18</f>
        <v>298500</v>
      </c>
      <c r="L18" s="460">
        <v>10800</v>
      </c>
      <c r="M18" s="3" t="s">
        <v>296</v>
      </c>
      <c r="N18" s="30">
        <v>44832</v>
      </c>
      <c r="O18" s="459">
        <v>3000</v>
      </c>
      <c r="P18" s="30">
        <v>44863</v>
      </c>
      <c r="Q18" s="459">
        <v>4000</v>
      </c>
      <c r="R18" s="37">
        <v>44957</v>
      </c>
      <c r="S18" s="461">
        <v>3000</v>
      </c>
      <c r="T18" s="37">
        <v>45015</v>
      </c>
      <c r="U18" s="463">
        <v>3000</v>
      </c>
      <c r="V18" s="80">
        <v>45043</v>
      </c>
      <c r="W18" s="463">
        <v>3000</v>
      </c>
      <c r="X18" s="80">
        <v>45106</v>
      </c>
      <c r="Y18" s="463">
        <v>3000</v>
      </c>
      <c r="Z18" s="56">
        <v>45168</v>
      </c>
      <c r="AA18" s="465">
        <v>3000</v>
      </c>
      <c r="AB18" s="56">
        <v>45632</v>
      </c>
      <c r="AC18" s="465">
        <v>1500</v>
      </c>
      <c r="AD18" s="56">
        <v>45772</v>
      </c>
      <c r="AE18" s="465">
        <v>2000</v>
      </c>
      <c r="AF18" s="56">
        <v>46147</v>
      </c>
      <c r="AG18" s="557">
        <v>2000</v>
      </c>
    </row>
    <row r="19" spans="1:69">
      <c r="A19" s="3">
        <v>3</v>
      </c>
      <c r="B19" s="487" t="s">
        <v>52</v>
      </c>
      <c r="C19" s="479">
        <v>45219</v>
      </c>
      <c r="D19" s="26" t="s">
        <v>312</v>
      </c>
      <c r="E19" s="9">
        <v>200</v>
      </c>
      <c r="F19" s="9">
        <v>1</v>
      </c>
      <c r="G19" s="9">
        <v>11</v>
      </c>
      <c r="H19" s="9">
        <v>9555014160</v>
      </c>
      <c r="I19" s="20">
        <v>414400</v>
      </c>
      <c r="J19" s="475">
        <v>5000</v>
      </c>
      <c r="K19" s="29">
        <f>I19-J19-O19-Q19-S19-U19-W19-Y19</f>
        <v>379400</v>
      </c>
      <c r="L19" s="460">
        <v>7800</v>
      </c>
      <c r="M19" s="3" t="s">
        <v>296</v>
      </c>
      <c r="N19" s="30">
        <v>45302</v>
      </c>
      <c r="O19" s="475">
        <v>5000</v>
      </c>
      <c r="P19" s="30">
        <v>45386</v>
      </c>
      <c r="Q19" s="475">
        <v>10000</v>
      </c>
      <c r="R19" s="37">
        <v>45538</v>
      </c>
      <c r="S19" s="476">
        <v>5000</v>
      </c>
      <c r="T19" s="37">
        <v>45737</v>
      </c>
      <c r="U19" s="478">
        <v>4000</v>
      </c>
      <c r="V19" s="80">
        <v>45936</v>
      </c>
      <c r="W19" s="756">
        <v>3000</v>
      </c>
      <c r="X19" s="80">
        <v>46265</v>
      </c>
      <c r="Y19" s="478">
        <v>3000</v>
      </c>
      <c r="AA19" s="456"/>
      <c r="AC19" s="456"/>
      <c r="AE19" s="456"/>
      <c r="AG19" s="456"/>
    </row>
    <row r="20" spans="1:69">
      <c r="A20" s="3">
        <v>3</v>
      </c>
      <c r="B20" s="516" t="s">
        <v>317</v>
      </c>
      <c r="C20" s="479" t="s">
        <v>686</v>
      </c>
      <c r="D20" s="15" t="s">
        <v>685</v>
      </c>
      <c r="E20" s="9">
        <v>200</v>
      </c>
      <c r="F20" s="517">
        <v>2</v>
      </c>
      <c r="G20" s="517">
        <v>60</v>
      </c>
      <c r="H20" s="9">
        <v>9182005815</v>
      </c>
      <c r="I20" s="52">
        <v>299200</v>
      </c>
      <c r="J20" s="518">
        <v>93000</v>
      </c>
      <c r="K20" s="54">
        <f>SUM(I20-J20-O20-Q20-S20-U20-W20)</f>
        <v>0</v>
      </c>
      <c r="L20" s="55">
        <v>10800</v>
      </c>
      <c r="M20" s="3" t="s">
        <v>30</v>
      </c>
      <c r="N20" s="30">
        <v>44459</v>
      </c>
      <c r="O20" s="519">
        <v>11000</v>
      </c>
      <c r="P20" s="37">
        <v>44511</v>
      </c>
      <c r="Q20" s="518">
        <v>11000</v>
      </c>
      <c r="R20" s="37">
        <v>44522</v>
      </c>
      <c r="S20" s="520">
        <v>10000</v>
      </c>
      <c r="T20" s="62" t="s">
        <v>319</v>
      </c>
      <c r="U20" s="520">
        <v>100000</v>
      </c>
      <c r="V20" s="80">
        <v>45015</v>
      </c>
      <c r="W20" s="521">
        <v>74200</v>
      </c>
      <c r="X20" s="522" t="s">
        <v>17</v>
      </c>
      <c r="Y20" s="523">
        <v>1000</v>
      </c>
      <c r="Z20" s="831"/>
      <c r="AA20" s="831"/>
      <c r="AB20" s="831"/>
      <c r="AC20" s="456"/>
      <c r="AE20" s="456"/>
    </row>
    <row r="21" spans="1:69">
      <c r="A21" s="3">
        <v>7</v>
      </c>
      <c r="B21" s="506" t="s">
        <v>313</v>
      </c>
      <c r="C21" s="479">
        <v>44958</v>
      </c>
      <c r="D21" s="292" t="s">
        <v>314</v>
      </c>
      <c r="E21" s="9">
        <v>200</v>
      </c>
      <c r="F21" s="9">
        <v>2</v>
      </c>
      <c r="G21" s="9">
        <v>46</v>
      </c>
      <c r="H21" s="9">
        <v>9190932256</v>
      </c>
      <c r="I21" s="20">
        <v>349200</v>
      </c>
      <c r="J21" s="467">
        <v>5000</v>
      </c>
      <c r="K21" s="29">
        <f>I21-J21-O21-Q21-S21-U21-W21-Y21</f>
        <v>293200</v>
      </c>
      <c r="L21" s="460">
        <v>9700</v>
      </c>
      <c r="M21" s="3" t="s">
        <v>306</v>
      </c>
      <c r="N21" s="30">
        <v>44989</v>
      </c>
      <c r="O21" s="507">
        <v>6000</v>
      </c>
      <c r="P21" s="30">
        <v>45071</v>
      </c>
      <c r="Q21" s="507">
        <v>5000</v>
      </c>
      <c r="R21" s="37">
        <v>45245</v>
      </c>
      <c r="S21" s="508">
        <v>10000</v>
      </c>
      <c r="T21" s="37">
        <v>45295</v>
      </c>
      <c r="U21" s="509">
        <v>10000</v>
      </c>
      <c r="V21" s="80">
        <v>45295</v>
      </c>
      <c r="W21" s="509">
        <v>10000</v>
      </c>
      <c r="X21" s="80">
        <v>45435</v>
      </c>
      <c r="Y21" s="509">
        <v>10000</v>
      </c>
      <c r="AA21" s="456"/>
      <c r="AC21" s="456"/>
      <c r="AE21" s="456"/>
      <c r="AG21" s="456"/>
    </row>
    <row r="22" spans="1:69">
      <c r="A22" s="3">
        <v>7</v>
      </c>
      <c r="B22" s="510" t="s">
        <v>315</v>
      </c>
      <c r="C22" s="479">
        <v>45009</v>
      </c>
      <c r="D22" s="511" t="s">
        <v>316</v>
      </c>
      <c r="E22" s="9">
        <v>200</v>
      </c>
      <c r="F22" s="9">
        <v>2</v>
      </c>
      <c r="G22" s="9">
        <v>58</v>
      </c>
      <c r="H22" s="9"/>
      <c r="I22" s="20">
        <v>356148</v>
      </c>
      <c r="J22" s="512">
        <v>5000</v>
      </c>
      <c r="K22" s="29">
        <f>I22-J22-O22-Q22-S22-U22-W22-Y22-AA22-AC22-AE22-AG22-AI22-AK22-AM22-AO22-AQ22</f>
        <v>0</v>
      </c>
      <c r="L22" s="460">
        <v>13200</v>
      </c>
      <c r="M22" s="3" t="s">
        <v>53</v>
      </c>
      <c r="N22" s="30">
        <v>45014</v>
      </c>
      <c r="O22" s="512">
        <v>35000</v>
      </c>
      <c r="P22" s="30">
        <v>45077</v>
      </c>
      <c r="Q22" s="512">
        <v>15000</v>
      </c>
      <c r="R22" s="37">
        <v>45149</v>
      </c>
      <c r="S22" s="513">
        <v>10000</v>
      </c>
      <c r="T22" s="37">
        <v>45211</v>
      </c>
      <c r="U22" s="514">
        <v>15000</v>
      </c>
      <c r="V22" s="80">
        <v>45273</v>
      </c>
      <c r="W22" s="514">
        <v>15000</v>
      </c>
      <c r="X22" s="80">
        <v>45363</v>
      </c>
      <c r="Y22" s="514">
        <v>15000</v>
      </c>
      <c r="Z22" s="56">
        <v>45411</v>
      </c>
      <c r="AA22" s="515">
        <v>30000</v>
      </c>
      <c r="AB22" s="56">
        <v>45454</v>
      </c>
      <c r="AC22" s="515">
        <v>15000</v>
      </c>
      <c r="AD22" s="56">
        <v>45496</v>
      </c>
      <c r="AE22" s="515">
        <v>30000</v>
      </c>
      <c r="AF22" s="56">
        <v>45583</v>
      </c>
      <c r="AG22" s="515">
        <v>35000</v>
      </c>
      <c r="AH22" s="56">
        <v>45743</v>
      </c>
      <c r="AI22" s="515">
        <v>50000</v>
      </c>
      <c r="AJ22" s="56">
        <v>45743</v>
      </c>
      <c r="AK22" s="515">
        <v>16100</v>
      </c>
      <c r="AL22" s="56">
        <v>45819</v>
      </c>
      <c r="AM22" s="515">
        <v>20000</v>
      </c>
      <c r="AN22" s="56">
        <v>45838</v>
      </c>
      <c r="AO22" s="515">
        <v>15000</v>
      </c>
      <c r="AP22" s="56">
        <v>45868</v>
      </c>
      <c r="AQ22" s="515">
        <v>35048</v>
      </c>
      <c r="AR22" s="522" t="s">
        <v>17</v>
      </c>
      <c r="AS22" s="159">
        <v>1500</v>
      </c>
    </row>
    <row r="23" spans="1:69">
      <c r="A23" s="3">
        <v>7</v>
      </c>
      <c r="B23" s="147" t="s">
        <v>20</v>
      </c>
      <c r="C23" s="39">
        <v>44736</v>
      </c>
      <c r="D23" s="524" t="s">
        <v>320</v>
      </c>
      <c r="E23" s="3" t="s">
        <v>321</v>
      </c>
      <c r="F23" s="3">
        <v>2</v>
      </c>
      <c r="G23" s="3">
        <v>55</v>
      </c>
      <c r="H23" s="3">
        <v>9979328991</v>
      </c>
      <c r="I23" s="52">
        <v>174600</v>
      </c>
      <c r="J23" s="455" t="s">
        <v>15</v>
      </c>
      <c r="K23" s="54">
        <f>I23-O23-Q23-S23-U23-W23-Y23-AA23-AC23-AE23-AG23-AI23-AK23-AM23-AO23-AQ23-AS23-AU23-AW23-AY23-BA23-BC23</f>
        <v>0</v>
      </c>
      <c r="L23" s="525">
        <v>4850</v>
      </c>
      <c r="M23" s="3" t="s">
        <v>306</v>
      </c>
      <c r="N23" s="56">
        <v>44736</v>
      </c>
      <c r="O23" s="461">
        <v>3000</v>
      </c>
      <c r="P23" s="56">
        <v>44765</v>
      </c>
      <c r="Q23" s="461">
        <v>6700</v>
      </c>
      <c r="R23" s="56">
        <v>44832</v>
      </c>
      <c r="S23" s="461">
        <v>4850</v>
      </c>
      <c r="T23" s="56">
        <v>44863</v>
      </c>
      <c r="U23" s="462">
        <v>4800</v>
      </c>
      <c r="V23" s="56">
        <v>44894</v>
      </c>
      <c r="W23" s="462">
        <v>4850</v>
      </c>
      <c r="X23" s="56">
        <v>44901</v>
      </c>
      <c r="Y23" s="462">
        <v>9700</v>
      </c>
      <c r="Z23" s="56">
        <v>44930</v>
      </c>
      <c r="AA23" s="462">
        <v>4800</v>
      </c>
      <c r="AB23" s="56">
        <v>44964</v>
      </c>
      <c r="AC23" s="462">
        <v>4850</v>
      </c>
      <c r="AD23" s="56">
        <v>44988</v>
      </c>
      <c r="AE23" s="462">
        <v>4800</v>
      </c>
      <c r="AF23" s="56">
        <v>45019</v>
      </c>
      <c r="AG23" s="462">
        <v>4850</v>
      </c>
      <c r="AH23" s="56">
        <v>45056</v>
      </c>
      <c r="AI23" s="462">
        <v>4850</v>
      </c>
      <c r="AJ23" s="56">
        <v>45085</v>
      </c>
      <c r="AK23" s="462">
        <v>4850</v>
      </c>
      <c r="AL23" s="56">
        <v>45111</v>
      </c>
      <c r="AM23" s="462">
        <v>4850</v>
      </c>
      <c r="AN23" s="56">
        <v>45143</v>
      </c>
      <c r="AO23" s="462">
        <v>4850</v>
      </c>
      <c r="AP23" s="56">
        <v>45181</v>
      </c>
      <c r="AQ23" s="462">
        <v>4850</v>
      </c>
      <c r="AR23" s="56">
        <v>45310</v>
      </c>
      <c r="AS23" s="462">
        <v>4850</v>
      </c>
      <c r="AT23" s="56">
        <v>45366</v>
      </c>
      <c r="AU23" s="462">
        <v>4850</v>
      </c>
      <c r="AV23" s="56">
        <v>45264</v>
      </c>
      <c r="AW23" s="462">
        <v>9700</v>
      </c>
      <c r="AX23" s="56">
        <v>45497</v>
      </c>
      <c r="AY23" s="462">
        <v>4850</v>
      </c>
      <c r="AZ23" s="56">
        <v>45712</v>
      </c>
      <c r="BA23" s="462">
        <v>60000</v>
      </c>
      <c r="BB23" s="56">
        <v>45838</v>
      </c>
      <c r="BC23" s="462">
        <v>12900</v>
      </c>
      <c r="BD23" s="522" t="s">
        <v>17</v>
      </c>
      <c r="BE23" s="159">
        <v>2095</v>
      </c>
    </row>
    <row r="24" spans="1:69">
      <c r="A24" s="3">
        <v>7</v>
      </c>
      <c r="B24" s="526" t="s">
        <v>322</v>
      </c>
      <c r="C24" s="39">
        <v>45192</v>
      </c>
      <c r="D24" s="15" t="s">
        <v>678</v>
      </c>
      <c r="E24" s="3">
        <v>200</v>
      </c>
      <c r="F24" s="3">
        <v>1</v>
      </c>
      <c r="G24" s="3">
        <v>9</v>
      </c>
      <c r="H24" s="3">
        <v>9973023713</v>
      </c>
      <c r="I24" s="52">
        <v>300000</v>
      </c>
      <c r="J24" s="527">
        <v>300000</v>
      </c>
      <c r="K24" s="54">
        <f>I24-J24</f>
        <v>0</v>
      </c>
      <c r="L24" s="525"/>
      <c r="M24" s="3" t="s">
        <v>16</v>
      </c>
      <c r="N24" s="56"/>
      <c r="O24" s="488"/>
      <c r="P24" s="56"/>
      <c r="Q24" s="488"/>
      <c r="R24" s="56"/>
      <c r="S24" s="488"/>
      <c r="T24" s="56"/>
      <c r="U24" s="188"/>
      <c r="V24" s="56"/>
      <c r="W24" s="188"/>
      <c r="X24" s="56"/>
      <c r="Y24" s="188"/>
      <c r="Z24" s="56"/>
      <c r="AA24" s="188"/>
      <c r="AB24" s="56"/>
      <c r="AC24" s="188"/>
      <c r="AD24" s="56"/>
      <c r="AE24" s="188"/>
      <c r="AF24" s="56"/>
      <c r="AG24" s="188"/>
      <c r="AH24" s="56"/>
      <c r="AI24" s="188"/>
      <c r="AJ24" s="56"/>
      <c r="AK24" s="188"/>
      <c r="AL24" s="56"/>
      <c r="AM24" s="188"/>
      <c r="AN24" s="56"/>
      <c r="AO24" s="188"/>
      <c r="AP24" s="56"/>
      <c r="AQ24" s="188"/>
    </row>
    <row r="25" spans="1:69" s="769" customFormat="1">
      <c r="A25" s="767">
        <v>7</v>
      </c>
      <c r="B25" s="880" t="s">
        <v>300</v>
      </c>
      <c r="C25" s="768">
        <v>45933</v>
      </c>
      <c r="D25" s="769" t="s">
        <v>676</v>
      </c>
      <c r="E25" s="767">
        <v>200</v>
      </c>
      <c r="F25" s="767"/>
      <c r="G25" s="767">
        <v>43</v>
      </c>
      <c r="H25" s="767">
        <v>9169571432</v>
      </c>
      <c r="I25" s="770">
        <v>472000</v>
      </c>
      <c r="J25" s="472">
        <v>5000</v>
      </c>
      <c r="K25" s="771">
        <f>I25-J25-O25</f>
        <v>432000</v>
      </c>
      <c r="L25" s="772">
        <v>6000</v>
      </c>
      <c r="M25" s="767" t="s">
        <v>175</v>
      </c>
      <c r="N25" s="773">
        <v>46193</v>
      </c>
      <c r="O25" s="472">
        <v>35000</v>
      </c>
      <c r="P25" s="773"/>
      <c r="Q25" s="808"/>
      <c r="R25" s="773"/>
      <c r="S25" s="808"/>
      <c r="T25" s="773"/>
      <c r="U25" s="774"/>
      <c r="V25" s="773"/>
      <c r="W25" s="774"/>
      <c r="X25" s="773"/>
      <c r="Y25" s="774"/>
      <c r="Z25" s="773"/>
      <c r="AA25" s="774"/>
      <c r="AB25" s="773"/>
      <c r="AC25" s="774"/>
      <c r="AD25" s="773"/>
      <c r="AE25" s="774"/>
      <c r="AF25" s="773"/>
      <c r="AG25" s="774"/>
      <c r="AH25" s="773"/>
      <c r="AI25" s="774"/>
      <c r="AJ25" s="773"/>
      <c r="AK25" s="774"/>
      <c r="AL25" s="773"/>
      <c r="AM25" s="774"/>
      <c r="AN25" s="773"/>
      <c r="AO25" s="774"/>
      <c r="AP25" s="773"/>
      <c r="AQ25" s="774"/>
    </row>
    <row r="26" spans="1:69" s="769" customFormat="1">
      <c r="A26" s="767">
        <v>7</v>
      </c>
      <c r="B26" s="613" t="s">
        <v>666</v>
      </c>
      <c r="C26" s="768">
        <v>45835</v>
      </c>
      <c r="D26" s="775" t="s">
        <v>667</v>
      </c>
      <c r="E26" s="767" t="s">
        <v>154</v>
      </c>
      <c r="F26" s="767"/>
      <c r="G26" s="767" t="s">
        <v>668</v>
      </c>
      <c r="H26" s="767">
        <v>9291443293</v>
      </c>
      <c r="I26" s="770">
        <v>332400</v>
      </c>
      <c r="J26" s="469">
        <v>30000</v>
      </c>
      <c r="K26" s="771">
        <f>I26-J26-O26-Q26-U26-W26-Y26-AA26-AC26-AE26-AG26-AI26</f>
        <v>252000</v>
      </c>
      <c r="L26" s="772">
        <v>5040</v>
      </c>
      <c r="M26" s="767" t="s">
        <v>133</v>
      </c>
      <c r="N26" s="773">
        <v>45866</v>
      </c>
      <c r="O26" s="469">
        <v>5040</v>
      </c>
      <c r="P26" s="773">
        <v>45896</v>
      </c>
      <c r="Q26" s="469">
        <v>5040</v>
      </c>
      <c r="R26" s="806" t="s">
        <v>26</v>
      </c>
      <c r="S26" s="575">
        <v>600</v>
      </c>
      <c r="T26" s="773">
        <v>45929</v>
      </c>
      <c r="U26" s="98">
        <v>5040</v>
      </c>
      <c r="V26" s="773">
        <v>45965</v>
      </c>
      <c r="W26" s="98">
        <v>5040</v>
      </c>
      <c r="X26" s="773">
        <v>45990</v>
      </c>
      <c r="Y26" s="98">
        <v>5040</v>
      </c>
      <c r="Z26" s="773">
        <v>46028</v>
      </c>
      <c r="AA26" s="98">
        <v>5040</v>
      </c>
      <c r="AB26" s="773">
        <v>46048</v>
      </c>
      <c r="AC26" s="98">
        <v>5040</v>
      </c>
      <c r="AD26" s="773">
        <v>46076</v>
      </c>
      <c r="AE26" s="98">
        <v>5040</v>
      </c>
      <c r="AF26" s="773">
        <v>46105</v>
      </c>
      <c r="AG26" s="98">
        <v>5040</v>
      </c>
      <c r="AH26" s="773">
        <v>46140</v>
      </c>
      <c r="AI26" s="98">
        <v>5040</v>
      </c>
      <c r="AJ26" s="773">
        <v>46168</v>
      </c>
      <c r="AK26" s="98">
        <v>5040</v>
      </c>
      <c r="AL26" s="773">
        <v>46200</v>
      </c>
      <c r="AM26" s="98">
        <v>5040</v>
      </c>
      <c r="AN26" s="773">
        <v>46225</v>
      </c>
      <c r="AO26" s="98">
        <v>5040</v>
      </c>
      <c r="AP26" s="773">
        <v>46258</v>
      </c>
      <c r="AQ26" s="98">
        <v>5040</v>
      </c>
    </row>
    <row r="27" spans="1:69" s="769" customFormat="1" ht="12" customHeight="1">
      <c r="A27" s="767">
        <v>7</v>
      </c>
      <c r="B27" s="613" t="s">
        <v>666</v>
      </c>
      <c r="C27" s="768">
        <v>45835</v>
      </c>
      <c r="D27" s="775" t="s">
        <v>669</v>
      </c>
      <c r="E27" s="767" t="s">
        <v>154</v>
      </c>
      <c r="F27" s="767"/>
      <c r="G27" s="767" t="s">
        <v>670</v>
      </c>
      <c r="H27" s="767">
        <v>9291443293</v>
      </c>
      <c r="I27" s="770">
        <v>332400</v>
      </c>
      <c r="J27" s="469">
        <v>30000</v>
      </c>
      <c r="K27" s="771">
        <f>I27-J27-O27-Q27-U27-W27-Y27-AA27-AC27-AE27-AG27-AI27</f>
        <v>252000</v>
      </c>
      <c r="L27" s="772">
        <v>5040</v>
      </c>
      <c r="M27" s="767" t="s">
        <v>133</v>
      </c>
      <c r="N27" s="773">
        <v>45866</v>
      </c>
      <c r="O27" s="469">
        <v>5040</v>
      </c>
      <c r="P27" s="773">
        <v>45896</v>
      </c>
      <c r="Q27" s="469">
        <v>5040</v>
      </c>
      <c r="R27" s="806" t="s">
        <v>26</v>
      </c>
      <c r="S27" s="575">
        <v>600</v>
      </c>
      <c r="T27" s="773">
        <v>45929</v>
      </c>
      <c r="U27" s="98">
        <v>5040</v>
      </c>
      <c r="V27" s="773">
        <v>45965</v>
      </c>
      <c r="W27" s="98">
        <v>5040</v>
      </c>
      <c r="X27" s="773">
        <v>45990</v>
      </c>
      <c r="Y27" s="98">
        <v>5040</v>
      </c>
      <c r="Z27" s="773">
        <v>46028</v>
      </c>
      <c r="AA27" s="98">
        <v>5040</v>
      </c>
      <c r="AB27" s="773">
        <v>46048</v>
      </c>
      <c r="AC27" s="98">
        <v>5040</v>
      </c>
      <c r="AD27" s="773">
        <v>46076</v>
      </c>
      <c r="AE27" s="98">
        <v>5040</v>
      </c>
      <c r="AF27" s="773">
        <v>46105</v>
      </c>
      <c r="AG27" s="98">
        <v>5040</v>
      </c>
      <c r="AH27" s="773">
        <v>46140</v>
      </c>
      <c r="AI27" s="98">
        <v>5040</v>
      </c>
      <c r="AJ27" s="773">
        <v>46168</v>
      </c>
      <c r="AK27" s="98">
        <v>5040</v>
      </c>
      <c r="AL27" s="773">
        <v>46200</v>
      </c>
      <c r="AM27" s="98">
        <v>5040</v>
      </c>
      <c r="AN27" s="773">
        <v>46225</v>
      </c>
      <c r="AO27" s="98">
        <v>5040</v>
      </c>
      <c r="AP27" s="773">
        <v>46258</v>
      </c>
      <c r="AQ27" s="98">
        <v>5040</v>
      </c>
    </row>
    <row r="28" spans="1:69">
      <c r="A28" s="3">
        <v>7</v>
      </c>
      <c r="B28" s="528" t="s">
        <v>324</v>
      </c>
      <c r="C28" s="3" t="s">
        <v>325</v>
      </c>
      <c r="D28" s="15" t="s">
        <v>326</v>
      </c>
      <c r="E28" s="3">
        <v>200</v>
      </c>
      <c r="F28" s="3">
        <v>2</v>
      </c>
      <c r="G28" s="3">
        <v>51</v>
      </c>
      <c r="H28" s="3">
        <v>9776769027</v>
      </c>
      <c r="I28" s="52">
        <v>299200</v>
      </c>
      <c r="J28" s="529">
        <v>126700</v>
      </c>
      <c r="K28" s="54">
        <f>I28-J28-O28-Q28</f>
        <v>111000</v>
      </c>
      <c r="L28" s="525">
        <v>8000</v>
      </c>
      <c r="M28" s="3" t="s">
        <v>59</v>
      </c>
      <c r="N28" s="56">
        <v>44834</v>
      </c>
      <c r="O28" s="529">
        <v>11500</v>
      </c>
      <c r="P28" s="56">
        <v>45038</v>
      </c>
      <c r="Q28" s="529">
        <v>50000</v>
      </c>
    </row>
    <row r="29" spans="1:69">
      <c r="A29" s="3">
        <v>7</v>
      </c>
      <c r="B29" s="530" t="s">
        <v>327</v>
      </c>
      <c r="C29" s="531">
        <v>44649</v>
      </c>
      <c r="D29" s="532" t="s">
        <v>328</v>
      </c>
      <c r="E29" s="3" t="s">
        <v>329</v>
      </c>
      <c r="F29" s="3">
        <v>2</v>
      </c>
      <c r="G29" s="3">
        <v>63</v>
      </c>
      <c r="H29" s="3">
        <v>9755468966</v>
      </c>
      <c r="I29" s="52">
        <v>150000</v>
      </c>
      <c r="J29" s="533">
        <v>150000</v>
      </c>
      <c r="K29" s="54">
        <f>I29-J29</f>
        <v>0</v>
      </c>
      <c r="L29" s="457" t="s">
        <v>15</v>
      </c>
      <c r="M29" s="3" t="s">
        <v>16</v>
      </c>
    </row>
    <row r="30" spans="1:69">
      <c r="A30" s="534">
        <v>7</v>
      </c>
      <c r="B30" s="535" t="s">
        <v>330</v>
      </c>
      <c r="C30" s="531">
        <v>44649</v>
      </c>
      <c r="D30" s="524" t="s">
        <v>328</v>
      </c>
      <c r="E30" s="3" t="s">
        <v>331</v>
      </c>
      <c r="F30" s="3">
        <v>2</v>
      </c>
      <c r="G30" s="3">
        <v>63</v>
      </c>
      <c r="H30" s="3">
        <v>9755468966</v>
      </c>
      <c r="I30" s="52">
        <v>535200</v>
      </c>
      <c r="J30" s="533">
        <v>32816</v>
      </c>
      <c r="K30" s="54">
        <f>I30-J30-O30-Q30-S30-U30-W30-Y30-AA30-AC30-AE30-AG30</f>
        <v>0</v>
      </c>
      <c r="L30" s="525">
        <v>19800</v>
      </c>
      <c r="M30" s="3" t="s">
        <v>53</v>
      </c>
      <c r="N30" s="56">
        <v>44735</v>
      </c>
      <c r="O30" s="533">
        <v>35000</v>
      </c>
      <c r="P30" s="56">
        <v>44868</v>
      </c>
      <c r="Q30" s="533">
        <v>20000</v>
      </c>
      <c r="R30" s="15" t="s">
        <v>332</v>
      </c>
      <c r="S30" s="536">
        <v>50000</v>
      </c>
      <c r="T30" s="56">
        <v>45273</v>
      </c>
      <c r="U30" s="537">
        <v>25000</v>
      </c>
      <c r="V30" s="56">
        <v>45262</v>
      </c>
      <c r="W30" s="537">
        <v>40000</v>
      </c>
      <c r="X30" s="56">
        <v>45341</v>
      </c>
      <c r="Y30" s="537">
        <v>32384</v>
      </c>
      <c r="Z30" s="56">
        <v>45362</v>
      </c>
      <c r="AA30" s="537">
        <v>50000</v>
      </c>
      <c r="AB30" s="56">
        <v>45432</v>
      </c>
      <c r="AC30" s="537">
        <v>150000</v>
      </c>
      <c r="AD30" s="56">
        <v>45457</v>
      </c>
      <c r="AE30" s="537">
        <v>50000</v>
      </c>
      <c r="AF30" s="56">
        <v>45470</v>
      </c>
      <c r="AG30" s="537">
        <v>50000</v>
      </c>
      <c r="AH30" s="522" t="s">
        <v>17</v>
      </c>
      <c r="AI30" s="159">
        <v>6800</v>
      </c>
    </row>
    <row r="31" spans="1:69">
      <c r="A31" s="3">
        <v>7</v>
      </c>
      <c r="B31" s="538" t="s">
        <v>121</v>
      </c>
      <c r="C31" s="145">
        <v>44384</v>
      </c>
      <c r="D31" s="496" t="s">
        <v>333</v>
      </c>
      <c r="E31" s="9">
        <v>150</v>
      </c>
      <c r="F31" s="9">
        <v>1</v>
      </c>
      <c r="G31" s="9">
        <v>40</v>
      </c>
      <c r="H31" s="9">
        <v>9357145302</v>
      </c>
      <c r="I31" s="20">
        <v>225870</v>
      </c>
      <c r="J31" s="539">
        <v>10000</v>
      </c>
      <c r="K31" s="29">
        <f>SUM(I31-J31-O31-Q31-S31-U31-W31-Y31-AA31-AC31-AE31-AG31-AI31-AK31-AM31-AO31-AQ31-AS31-AU31-AW31-AY31-BA31-BC31-BE31-BG31-BI31-BK31)</f>
        <v>0</v>
      </c>
      <c r="L31" s="460">
        <v>8100</v>
      </c>
      <c r="M31" s="137">
        <v>45870</v>
      </c>
      <c r="N31" s="30">
        <v>44413</v>
      </c>
      <c r="O31" s="539">
        <v>20000</v>
      </c>
      <c r="P31" s="30">
        <v>44445</v>
      </c>
      <c r="Q31" s="539">
        <v>10000</v>
      </c>
      <c r="R31" s="37">
        <v>44539</v>
      </c>
      <c r="S31" s="540">
        <v>10000</v>
      </c>
      <c r="T31" s="37">
        <v>44602</v>
      </c>
      <c r="U31" s="541">
        <v>10000</v>
      </c>
      <c r="V31" s="80">
        <v>44708</v>
      </c>
      <c r="W31" s="541">
        <v>10000</v>
      </c>
      <c r="X31" s="80">
        <v>44775</v>
      </c>
      <c r="Y31" s="542">
        <v>10000</v>
      </c>
      <c r="Z31" s="56">
        <v>44838</v>
      </c>
      <c r="AA31" s="543">
        <v>10000</v>
      </c>
      <c r="AB31" s="56">
        <v>44929</v>
      </c>
      <c r="AC31" s="543">
        <v>5000</v>
      </c>
      <c r="AD31" s="56">
        <v>45021</v>
      </c>
      <c r="AE31" s="543">
        <v>10000</v>
      </c>
      <c r="AF31" s="56">
        <v>45113</v>
      </c>
      <c r="AG31" s="543">
        <v>5000</v>
      </c>
      <c r="AH31" s="56">
        <v>45146</v>
      </c>
      <c r="AI31" s="544">
        <v>10000</v>
      </c>
      <c r="AJ31" s="56">
        <v>45234</v>
      </c>
      <c r="AK31" s="544">
        <v>15000</v>
      </c>
      <c r="AL31" s="56">
        <v>45337</v>
      </c>
      <c r="AM31" s="544">
        <v>5000</v>
      </c>
      <c r="AN31" s="56">
        <v>45393</v>
      </c>
      <c r="AO31" s="544">
        <v>5000</v>
      </c>
      <c r="AP31" s="56">
        <v>45454</v>
      </c>
      <c r="AQ31" s="544">
        <v>5000</v>
      </c>
      <c r="AR31" s="56">
        <v>45560</v>
      </c>
      <c r="AS31" s="545">
        <v>5000</v>
      </c>
      <c r="AT31" s="56">
        <v>45602</v>
      </c>
      <c r="AU31" s="545">
        <v>5000</v>
      </c>
      <c r="AV31" s="56">
        <v>45665</v>
      </c>
      <c r="AW31" s="545">
        <v>10000</v>
      </c>
      <c r="AX31" s="56">
        <v>45723</v>
      </c>
      <c r="AY31" s="545">
        <v>5000</v>
      </c>
      <c r="AZ31" s="56">
        <v>45783</v>
      </c>
      <c r="BA31" s="545">
        <v>5000</v>
      </c>
      <c r="BB31" s="56">
        <v>45817</v>
      </c>
      <c r="BC31" s="545">
        <v>10000</v>
      </c>
      <c r="BD31" s="56">
        <v>45853</v>
      </c>
      <c r="BE31" s="545">
        <v>5000</v>
      </c>
      <c r="BF31" s="56">
        <v>45881</v>
      </c>
      <c r="BG31" s="545">
        <v>5500</v>
      </c>
      <c r="BH31" s="56">
        <v>45944</v>
      </c>
      <c r="BI31" s="545">
        <v>5000</v>
      </c>
      <c r="BJ31" s="56">
        <v>45971</v>
      </c>
      <c r="BK31" s="545">
        <v>20370</v>
      </c>
      <c r="BL31" s="522" t="s">
        <v>17</v>
      </c>
      <c r="BM31" s="159">
        <v>1500</v>
      </c>
    </row>
    <row r="32" spans="1:69" ht="12" customHeight="1">
      <c r="A32" s="3">
        <v>7</v>
      </c>
      <c r="B32" s="32" t="s">
        <v>33</v>
      </c>
      <c r="C32" s="145">
        <v>44482</v>
      </c>
      <c r="D32" s="496" t="s">
        <v>713</v>
      </c>
      <c r="E32" s="9">
        <v>200</v>
      </c>
      <c r="F32" s="9">
        <v>1</v>
      </c>
      <c r="G32" s="9">
        <v>34</v>
      </c>
      <c r="H32" s="9">
        <v>9553456732</v>
      </c>
      <c r="I32" s="20">
        <v>363400</v>
      </c>
      <c r="J32" s="467" t="s">
        <v>15</v>
      </c>
      <c r="K32" s="29">
        <f>I32-O32-Q32-S32-U32-W32-Y32-AA32-AC32-AE32-AI32-AK32-AG32-AM32-AO32-AQ32-AS32-AU32-AW32-AY32-BA32-BC32-BE32-BG32-BI32-BK32-BM32-BO32-BQ32</f>
        <v>0</v>
      </c>
      <c r="L32" s="460" t="s">
        <v>334</v>
      </c>
      <c r="M32" s="10" t="s">
        <v>296</v>
      </c>
      <c r="N32" s="30">
        <v>44482</v>
      </c>
      <c r="O32" s="471">
        <v>9700</v>
      </c>
      <c r="P32" s="30">
        <v>44517</v>
      </c>
      <c r="Q32" s="471">
        <v>9700</v>
      </c>
      <c r="R32" s="37">
        <v>44564</v>
      </c>
      <c r="S32" s="472">
        <v>9700</v>
      </c>
      <c r="T32" s="37">
        <v>44588</v>
      </c>
      <c r="U32" s="473">
        <v>9700</v>
      </c>
      <c r="V32" s="80">
        <v>44622</v>
      </c>
      <c r="W32" s="473">
        <v>9700</v>
      </c>
      <c r="X32" s="62" t="s">
        <v>34</v>
      </c>
      <c r="Y32" s="473">
        <v>9700</v>
      </c>
      <c r="Z32" s="56">
        <v>44701</v>
      </c>
      <c r="AA32" s="546">
        <v>9700</v>
      </c>
      <c r="AB32" s="56">
        <v>44719</v>
      </c>
      <c r="AC32" s="546">
        <v>9700</v>
      </c>
      <c r="AD32" s="56">
        <v>44760</v>
      </c>
      <c r="AE32" s="546">
        <v>9700</v>
      </c>
      <c r="AF32" s="547">
        <v>44823</v>
      </c>
      <c r="AG32" s="546">
        <v>9700</v>
      </c>
      <c r="AH32" s="56">
        <v>44882</v>
      </c>
      <c r="AI32" s="546">
        <v>9700</v>
      </c>
      <c r="AJ32" s="56">
        <v>44887</v>
      </c>
      <c r="AK32" s="548">
        <v>9700</v>
      </c>
      <c r="AL32" s="56">
        <v>44935</v>
      </c>
      <c r="AM32" s="548">
        <v>9700</v>
      </c>
      <c r="AN32" s="56">
        <v>44963</v>
      </c>
      <c r="AO32" s="548">
        <v>9700</v>
      </c>
      <c r="AP32" s="56">
        <v>45028</v>
      </c>
      <c r="AQ32" s="548">
        <v>9700</v>
      </c>
      <c r="AR32" s="56">
        <v>45138</v>
      </c>
      <c r="AS32" s="548">
        <v>9700</v>
      </c>
      <c r="AT32" s="56">
        <v>45288</v>
      </c>
      <c r="AU32" s="548">
        <v>19400</v>
      </c>
      <c r="AV32" s="56">
        <v>45369</v>
      </c>
      <c r="AW32" s="548">
        <v>9700</v>
      </c>
      <c r="AX32" s="56">
        <v>45385</v>
      </c>
      <c r="AY32" s="548">
        <v>10000</v>
      </c>
      <c r="AZ32" s="56">
        <v>45570</v>
      </c>
      <c r="BA32" s="548">
        <v>5000</v>
      </c>
      <c r="BB32" s="56">
        <v>45582</v>
      </c>
      <c r="BC32" s="548">
        <v>10000</v>
      </c>
      <c r="BD32" s="56">
        <v>45636</v>
      </c>
      <c r="BE32" s="548">
        <v>10000</v>
      </c>
      <c r="BF32" s="56">
        <v>45700</v>
      </c>
      <c r="BG32" s="548">
        <v>10000</v>
      </c>
      <c r="BH32" s="56">
        <v>45761</v>
      </c>
      <c r="BI32" s="548">
        <v>10000</v>
      </c>
      <c r="BJ32" s="56">
        <v>45770</v>
      </c>
      <c r="BK32" s="548">
        <v>15000</v>
      </c>
      <c r="BL32" s="56">
        <v>45831</v>
      </c>
      <c r="BM32" s="548">
        <v>5000</v>
      </c>
      <c r="BN32" s="56">
        <v>45936</v>
      </c>
      <c r="BO32" s="548">
        <v>42100</v>
      </c>
      <c r="BP32" s="56">
        <v>45955</v>
      </c>
      <c r="BQ32" s="548">
        <v>62000</v>
      </c>
    </row>
    <row r="33" spans="1:87" ht="13.5" customHeight="1">
      <c r="A33" s="3">
        <v>7</v>
      </c>
      <c r="B33" s="549" t="s">
        <v>14</v>
      </c>
      <c r="C33" s="145">
        <v>44477</v>
      </c>
      <c r="D33" s="496" t="s">
        <v>335</v>
      </c>
      <c r="E33" s="9">
        <v>200</v>
      </c>
      <c r="F33" s="9">
        <v>1</v>
      </c>
      <c r="G33" s="9">
        <v>7</v>
      </c>
      <c r="H33" s="9">
        <v>9270480303</v>
      </c>
      <c r="I33" s="20">
        <v>367400</v>
      </c>
      <c r="J33" s="500">
        <v>5000</v>
      </c>
      <c r="K33" s="29">
        <f>I33-J33-O33-Q33-S33-U33-Y33-AA33-AC33-AE33-AG33-AI33-AK33-AM33-W33-AO33-AQ33-AS33-AU33</f>
        <v>130300</v>
      </c>
      <c r="L33" s="460" t="s">
        <v>334</v>
      </c>
      <c r="M33" s="10" t="s">
        <v>296</v>
      </c>
      <c r="N33" s="30">
        <v>44516</v>
      </c>
      <c r="O33" s="501">
        <v>9700</v>
      </c>
      <c r="P33" s="30">
        <v>44550</v>
      </c>
      <c r="Q33" s="501">
        <v>9700</v>
      </c>
      <c r="R33" s="37">
        <v>44578</v>
      </c>
      <c r="S33" s="550">
        <v>9700</v>
      </c>
      <c r="T33" s="80">
        <v>44614</v>
      </c>
      <c r="U33" s="550">
        <v>10000</v>
      </c>
      <c r="V33" s="551">
        <v>44637</v>
      </c>
      <c r="W33" s="550">
        <v>10000</v>
      </c>
      <c r="X33" s="80">
        <v>44671</v>
      </c>
      <c r="Y33" s="550">
        <v>10000</v>
      </c>
      <c r="Z33" s="56">
        <v>44699</v>
      </c>
      <c r="AA33" s="552">
        <v>10000</v>
      </c>
      <c r="AB33" s="56">
        <v>44733</v>
      </c>
      <c r="AC33" s="552">
        <v>10000</v>
      </c>
      <c r="AD33" s="56">
        <v>44761</v>
      </c>
      <c r="AE33" s="552">
        <v>10000</v>
      </c>
      <c r="AF33" s="56">
        <v>44792</v>
      </c>
      <c r="AG33" s="552">
        <v>10000</v>
      </c>
      <c r="AH33" s="56">
        <v>44834</v>
      </c>
      <c r="AI33" s="553">
        <v>10000</v>
      </c>
      <c r="AJ33" s="56">
        <v>44855</v>
      </c>
      <c r="AK33" s="553">
        <v>10000</v>
      </c>
      <c r="AL33" s="56">
        <v>44887</v>
      </c>
      <c r="AM33" s="553">
        <v>11000</v>
      </c>
      <c r="AN33" s="56">
        <v>45290</v>
      </c>
      <c r="AO33" s="553">
        <v>11000</v>
      </c>
      <c r="AP33" s="56">
        <v>44947</v>
      </c>
      <c r="AQ33" s="553">
        <v>11000</v>
      </c>
      <c r="AR33" s="56">
        <v>44986</v>
      </c>
      <c r="AS33" s="553">
        <v>50000</v>
      </c>
      <c r="AT33" s="56">
        <v>45147</v>
      </c>
      <c r="AU33" s="554">
        <v>30000</v>
      </c>
    </row>
    <row r="34" spans="1:87">
      <c r="A34" s="3">
        <v>7</v>
      </c>
      <c r="B34" s="549" t="s">
        <v>14</v>
      </c>
      <c r="C34" s="145" t="s">
        <v>336</v>
      </c>
      <c r="D34" s="17" t="s">
        <v>337</v>
      </c>
      <c r="E34" s="9">
        <v>200</v>
      </c>
      <c r="F34" s="9">
        <v>2</v>
      </c>
      <c r="G34" s="9">
        <v>53</v>
      </c>
      <c r="H34" s="9">
        <v>9484629929</v>
      </c>
      <c r="I34" s="20">
        <v>299200</v>
      </c>
      <c r="J34" s="500">
        <v>276000</v>
      </c>
      <c r="K34" s="29">
        <f>I34-J34-O34</f>
        <v>0</v>
      </c>
      <c r="L34" s="460">
        <v>10800</v>
      </c>
      <c r="M34" s="10" t="s">
        <v>30</v>
      </c>
      <c r="N34" s="30">
        <v>44755</v>
      </c>
      <c r="O34" s="501">
        <v>23200</v>
      </c>
      <c r="P34" s="555" t="s">
        <v>17</v>
      </c>
      <c r="Q34" s="556">
        <v>1500</v>
      </c>
      <c r="R34" s="104"/>
      <c r="S34" s="488"/>
      <c r="T34" s="37"/>
      <c r="U34" s="478"/>
      <c r="V34" s="80"/>
      <c r="W34" s="478"/>
      <c r="X34" s="80"/>
      <c r="Y34" s="478"/>
      <c r="Z34" s="56"/>
      <c r="AA34" s="557"/>
      <c r="AB34" s="56"/>
      <c r="AC34" s="557"/>
      <c r="AE34" s="456"/>
      <c r="AG34" s="456"/>
    </row>
    <row r="35" spans="1:87">
      <c r="A35" s="3" t="s">
        <v>15</v>
      </c>
      <c r="B35" s="516" t="s">
        <v>330</v>
      </c>
      <c r="C35" s="3" t="s">
        <v>338</v>
      </c>
      <c r="D35" s="146" t="s">
        <v>339</v>
      </c>
      <c r="E35" s="3">
        <v>200</v>
      </c>
      <c r="G35" s="3">
        <v>36</v>
      </c>
      <c r="H35" s="3">
        <v>9551050204</v>
      </c>
      <c r="I35" s="52">
        <v>202000</v>
      </c>
      <c r="J35" s="518">
        <v>82000</v>
      </c>
      <c r="K35" s="54">
        <f>I35-J35-O35</f>
        <v>0</v>
      </c>
      <c r="L35" s="457" t="s">
        <v>15</v>
      </c>
      <c r="M35" s="3" t="s">
        <v>16</v>
      </c>
      <c r="N35" s="56">
        <v>44839</v>
      </c>
      <c r="O35" s="488">
        <v>120000</v>
      </c>
      <c r="P35" s="153" t="s">
        <v>17</v>
      </c>
      <c r="Q35" s="558">
        <v>1000</v>
      </c>
    </row>
    <row r="36" spans="1:87">
      <c r="A36" s="3">
        <v>7</v>
      </c>
      <c r="B36" s="147" t="s">
        <v>407</v>
      </c>
      <c r="C36" s="39">
        <v>45853</v>
      </c>
      <c r="D36" s="411" t="s">
        <v>429</v>
      </c>
      <c r="E36" s="3">
        <v>200</v>
      </c>
      <c r="F36" s="3">
        <v>1</v>
      </c>
      <c r="G36" s="3">
        <v>28</v>
      </c>
      <c r="H36" s="3">
        <v>9675321848</v>
      </c>
      <c r="I36" s="52">
        <v>385600</v>
      </c>
      <c r="J36" s="488">
        <v>5000</v>
      </c>
      <c r="K36" s="54">
        <f>I36-J36-O36-Q36-S36</f>
        <v>335600</v>
      </c>
      <c r="L36" s="525">
        <v>12000</v>
      </c>
      <c r="M36" s="3" t="s">
        <v>69</v>
      </c>
      <c r="N36" s="56">
        <v>44804</v>
      </c>
      <c r="O36" s="488">
        <v>15000</v>
      </c>
      <c r="P36" s="56">
        <v>45385</v>
      </c>
      <c r="Q36" s="488">
        <v>20000</v>
      </c>
      <c r="R36" s="56">
        <v>45933</v>
      </c>
      <c r="S36" s="488">
        <v>10000</v>
      </c>
    </row>
    <row r="37" spans="1:87">
      <c r="A37" s="3">
        <v>3</v>
      </c>
      <c r="B37" s="516" t="s">
        <v>340</v>
      </c>
      <c r="C37" s="3" t="s">
        <v>341</v>
      </c>
      <c r="D37" s="524" t="s">
        <v>342</v>
      </c>
      <c r="E37" s="3">
        <v>116</v>
      </c>
      <c r="F37" s="3">
        <v>2</v>
      </c>
      <c r="G37" s="3">
        <v>42</v>
      </c>
      <c r="H37" s="3">
        <v>9757453481</v>
      </c>
      <c r="I37" s="52">
        <v>204640</v>
      </c>
      <c r="J37" s="518">
        <v>50000</v>
      </c>
      <c r="K37" s="54">
        <f>I37-J37-O37-N54-Q37-S37-U37</f>
        <v>109400</v>
      </c>
      <c r="L37" s="525">
        <v>4640</v>
      </c>
      <c r="M37" s="3" t="s">
        <v>690</v>
      </c>
      <c r="N37" s="56">
        <v>44744</v>
      </c>
      <c r="O37" s="518">
        <v>7840</v>
      </c>
      <c r="P37" s="56">
        <v>45783</v>
      </c>
      <c r="Q37" s="763">
        <v>20400</v>
      </c>
      <c r="R37" s="15" t="s">
        <v>671</v>
      </c>
      <c r="S37" s="763">
        <v>7000</v>
      </c>
      <c r="T37" s="56">
        <v>45870</v>
      </c>
      <c r="U37" s="801">
        <v>10000</v>
      </c>
    </row>
    <row r="38" spans="1:87">
      <c r="A38" s="3">
        <v>7</v>
      </c>
      <c r="B38" s="506" t="s">
        <v>313</v>
      </c>
      <c r="C38" s="145">
        <v>44392</v>
      </c>
      <c r="D38" s="496" t="s">
        <v>343</v>
      </c>
      <c r="E38" s="9" t="s">
        <v>154</v>
      </c>
      <c r="F38" s="9">
        <v>1</v>
      </c>
      <c r="G38" s="9" t="s">
        <v>344</v>
      </c>
      <c r="H38" s="9">
        <v>9534105700</v>
      </c>
      <c r="I38" s="20">
        <v>224400</v>
      </c>
      <c r="J38" s="507">
        <v>5000</v>
      </c>
      <c r="K38" s="29">
        <f>SUM(I38-J38-O38-Q38-S38-U38-W38-Y38)</f>
        <v>99400</v>
      </c>
      <c r="L38" s="460">
        <v>8100</v>
      </c>
      <c r="M38" s="10" t="s">
        <v>53</v>
      </c>
      <c r="N38" s="30">
        <v>44407</v>
      </c>
      <c r="O38" s="507">
        <v>5000</v>
      </c>
      <c r="P38" s="30">
        <v>44468</v>
      </c>
      <c r="Q38" s="507">
        <v>20000</v>
      </c>
      <c r="R38" s="37">
        <v>44559</v>
      </c>
      <c r="S38" s="559">
        <v>15000</v>
      </c>
      <c r="T38" s="37">
        <v>44571</v>
      </c>
      <c r="U38" s="560">
        <v>15000</v>
      </c>
      <c r="V38" s="80">
        <v>44655</v>
      </c>
      <c r="W38" s="560">
        <v>5000</v>
      </c>
      <c r="X38" s="80">
        <v>45225</v>
      </c>
      <c r="Y38" s="509">
        <v>60000</v>
      </c>
      <c r="AA38" s="456"/>
      <c r="AC38" s="456"/>
      <c r="AE38" s="456"/>
      <c r="AG38" s="456"/>
    </row>
    <row r="39" spans="1:87">
      <c r="A39" s="3">
        <v>7</v>
      </c>
      <c r="B39" s="561" t="s">
        <v>29</v>
      </c>
      <c r="C39" s="145">
        <v>44518</v>
      </c>
      <c r="D39" s="524" t="s">
        <v>345</v>
      </c>
      <c r="E39" s="3">
        <v>400</v>
      </c>
      <c r="F39" s="3">
        <v>1</v>
      </c>
      <c r="G39" s="3" t="s">
        <v>346</v>
      </c>
      <c r="I39" s="52">
        <v>698400</v>
      </c>
      <c r="J39" s="562">
        <v>10000</v>
      </c>
      <c r="K39" s="54">
        <f>I39-J39-O39-Q39-S39-U39-W39-Y39-AA39-AC39-AE39-AG39-AI39-AK39-AM39-AO39-AQ39-AS39-AU39-AW39-AY39-BA39-BC39-BE39-BG39-BI39-BK39-BM39-BO39-BQ39-BS39-BU39-BW39-BY39-CA39-CC39-CE39-CG39</f>
        <v>0</v>
      </c>
      <c r="L39" s="525">
        <v>19400</v>
      </c>
      <c r="M39" s="3" t="s">
        <v>306</v>
      </c>
      <c r="N39" s="56">
        <v>44529</v>
      </c>
      <c r="O39" s="562">
        <v>9400</v>
      </c>
      <c r="P39" s="56">
        <v>44552</v>
      </c>
      <c r="Q39" s="562">
        <v>19400</v>
      </c>
      <c r="R39" s="56">
        <v>44586</v>
      </c>
      <c r="S39" s="562">
        <v>19400</v>
      </c>
      <c r="T39" s="56">
        <v>44620</v>
      </c>
      <c r="U39" s="563">
        <v>19400</v>
      </c>
      <c r="V39" s="56">
        <v>44646</v>
      </c>
      <c r="W39" s="563">
        <v>19400</v>
      </c>
      <c r="X39" s="56">
        <v>44681</v>
      </c>
      <c r="Y39" s="563">
        <v>19400</v>
      </c>
      <c r="Z39" s="56">
        <v>44718</v>
      </c>
      <c r="AA39" s="563">
        <v>19400</v>
      </c>
      <c r="AB39" s="56">
        <v>44740</v>
      </c>
      <c r="AC39" s="563">
        <v>19400</v>
      </c>
      <c r="AD39" s="56">
        <v>44772</v>
      </c>
      <c r="AE39" s="563">
        <v>19500</v>
      </c>
      <c r="AF39" s="56">
        <v>44810</v>
      </c>
      <c r="AG39" s="563">
        <v>19300</v>
      </c>
      <c r="AH39" s="56">
        <v>44844</v>
      </c>
      <c r="AI39" s="563">
        <v>19400</v>
      </c>
      <c r="AJ39" s="56">
        <v>44879</v>
      </c>
      <c r="AK39" s="563">
        <v>19400</v>
      </c>
      <c r="AL39" s="56">
        <v>44915</v>
      </c>
      <c r="AM39" s="563">
        <v>19400</v>
      </c>
      <c r="AN39" s="56">
        <v>44940</v>
      </c>
      <c r="AO39" s="563">
        <v>19400</v>
      </c>
      <c r="AP39" s="56">
        <v>44982</v>
      </c>
      <c r="AQ39" s="563">
        <v>19400</v>
      </c>
      <c r="AR39" s="56">
        <v>45013</v>
      </c>
      <c r="AS39" s="563">
        <v>19400</v>
      </c>
      <c r="AT39" s="56">
        <v>45040</v>
      </c>
      <c r="AU39" s="563">
        <v>19400</v>
      </c>
      <c r="AV39" s="56">
        <v>45075</v>
      </c>
      <c r="AW39" s="563">
        <v>19400</v>
      </c>
      <c r="AX39" s="56">
        <v>45132</v>
      </c>
      <c r="AY39" s="563">
        <v>19400</v>
      </c>
      <c r="AZ39" s="56">
        <v>45136</v>
      </c>
      <c r="BA39" s="563">
        <v>19400</v>
      </c>
      <c r="BB39" s="56">
        <v>45167</v>
      </c>
      <c r="BC39" s="563">
        <v>19400</v>
      </c>
      <c r="BD39" s="56">
        <v>45202</v>
      </c>
      <c r="BE39" s="563">
        <v>19400</v>
      </c>
      <c r="BF39" s="56">
        <v>45234</v>
      </c>
      <c r="BG39" s="563">
        <v>19400</v>
      </c>
      <c r="BH39" s="56">
        <v>45254</v>
      </c>
      <c r="BI39" s="563">
        <v>19400</v>
      </c>
      <c r="BJ39" s="56">
        <v>45287</v>
      </c>
      <c r="BK39" s="563">
        <v>19400</v>
      </c>
      <c r="BL39" s="56">
        <v>45314</v>
      </c>
      <c r="BM39" s="563">
        <v>19400</v>
      </c>
      <c r="BN39" s="56">
        <v>45352</v>
      </c>
      <c r="BO39" s="563">
        <v>19400</v>
      </c>
      <c r="BP39" s="56">
        <v>45377</v>
      </c>
      <c r="BQ39" s="563">
        <v>19400</v>
      </c>
      <c r="BR39" s="56">
        <v>45405</v>
      </c>
      <c r="BS39" s="563">
        <v>19400</v>
      </c>
      <c r="BT39" s="56">
        <v>45439</v>
      </c>
      <c r="BU39" s="563">
        <v>19400</v>
      </c>
      <c r="BV39" s="56">
        <v>45472</v>
      </c>
      <c r="BW39" s="563">
        <v>19400</v>
      </c>
      <c r="BX39" s="56">
        <v>45500</v>
      </c>
      <c r="BY39" s="563">
        <v>19400</v>
      </c>
      <c r="BZ39" s="56">
        <v>45534</v>
      </c>
      <c r="CA39" s="563">
        <v>19400</v>
      </c>
      <c r="CB39" s="56">
        <v>45565</v>
      </c>
      <c r="CC39" s="563">
        <v>19400</v>
      </c>
      <c r="CD39" s="56">
        <v>45621</v>
      </c>
      <c r="CE39" s="563">
        <v>19400</v>
      </c>
      <c r="CF39" s="56">
        <v>45630</v>
      </c>
      <c r="CG39" s="563">
        <v>19400</v>
      </c>
      <c r="CH39" s="522" t="s">
        <v>17</v>
      </c>
      <c r="CI39" s="159">
        <v>1500</v>
      </c>
    </row>
    <row r="40" spans="1:87" customFormat="1" ht="15">
      <c r="A40" s="19">
        <v>7</v>
      </c>
      <c r="B40" s="564" t="s">
        <v>289</v>
      </c>
      <c r="C40" s="565">
        <v>44606</v>
      </c>
      <c r="D40" s="566" t="s">
        <v>347</v>
      </c>
      <c r="E40" s="262">
        <v>200</v>
      </c>
      <c r="F40" s="19">
        <v>1</v>
      </c>
      <c r="G40" s="3">
        <v>23</v>
      </c>
      <c r="H40" s="205"/>
      <c r="I40" s="567">
        <v>349200</v>
      </c>
      <c r="J40" s="207" t="s">
        <v>15</v>
      </c>
      <c r="K40" s="207">
        <f>I40-O40-Q40-S40-U40-W40-Y40-AA40-AC40-AE40-AG40-AI40-AM40-AO40-AQ40-AS40-AU40-AW40</f>
        <v>-17800</v>
      </c>
      <c r="L40" s="55">
        <v>19400</v>
      </c>
      <c r="M40" s="209" t="s">
        <v>306</v>
      </c>
      <c r="N40" s="209">
        <v>44606</v>
      </c>
      <c r="O40" s="568">
        <v>10000</v>
      </c>
      <c r="P40" s="209">
        <v>44683</v>
      </c>
      <c r="Q40" s="568">
        <v>19400</v>
      </c>
      <c r="R40" s="569">
        <v>44728</v>
      </c>
      <c r="S40" s="568">
        <v>19400</v>
      </c>
      <c r="T40" s="570">
        <v>44809</v>
      </c>
      <c r="U40" s="568">
        <v>19400</v>
      </c>
      <c r="V40" s="570">
        <v>44880</v>
      </c>
      <c r="W40" s="568">
        <v>19400</v>
      </c>
      <c r="X40" s="569">
        <v>44929</v>
      </c>
      <c r="Y40" s="571">
        <v>20000</v>
      </c>
      <c r="Z40" s="335">
        <v>45000</v>
      </c>
      <c r="AA40" s="572">
        <v>19400</v>
      </c>
      <c r="AB40" s="335">
        <v>45042</v>
      </c>
      <c r="AC40" s="573">
        <v>20000</v>
      </c>
      <c r="AD40" s="335">
        <v>45101</v>
      </c>
      <c r="AE40" s="573">
        <v>20000</v>
      </c>
      <c r="AF40" s="335">
        <v>45188</v>
      </c>
      <c r="AG40" s="574">
        <v>20000</v>
      </c>
      <c r="AH40" s="335">
        <v>45230</v>
      </c>
      <c r="AI40" s="573">
        <v>40000</v>
      </c>
      <c r="AJ40" s="229" t="s">
        <v>26</v>
      </c>
      <c r="AK40" s="228">
        <v>500</v>
      </c>
      <c r="AL40" s="335">
        <v>45289</v>
      </c>
      <c r="AM40" s="573">
        <v>20000</v>
      </c>
      <c r="AN40" s="335">
        <v>45400</v>
      </c>
      <c r="AO40" s="573">
        <v>20000</v>
      </c>
      <c r="AP40" s="335">
        <v>45450</v>
      </c>
      <c r="AQ40" s="573">
        <v>20000</v>
      </c>
      <c r="AR40" s="244">
        <v>45509</v>
      </c>
      <c r="AS40" s="573">
        <v>40000</v>
      </c>
      <c r="AT40" s="244">
        <v>45624</v>
      </c>
      <c r="AU40" s="573">
        <v>20000</v>
      </c>
      <c r="AV40" s="244">
        <v>45670</v>
      </c>
      <c r="AW40" s="573">
        <v>20000</v>
      </c>
      <c r="AX40" s="912" t="s">
        <v>348</v>
      </c>
      <c r="AY40" s="909"/>
      <c r="AZ40" s="909"/>
      <c r="BA40" s="909"/>
      <c r="BB40" s="909"/>
      <c r="BC40" s="228" t="s">
        <v>17</v>
      </c>
      <c r="BD40" s="321">
        <v>1000</v>
      </c>
    </row>
    <row r="41" spans="1:87">
      <c r="A41" s="3">
        <v>7</v>
      </c>
      <c r="B41" s="31" t="s">
        <v>33</v>
      </c>
      <c r="C41" s="145">
        <v>44434</v>
      </c>
      <c r="D41" s="146" t="s">
        <v>349</v>
      </c>
      <c r="E41" s="3">
        <v>150</v>
      </c>
      <c r="F41" s="3">
        <v>2</v>
      </c>
      <c r="G41" s="3">
        <v>41</v>
      </c>
      <c r="H41" s="3">
        <v>9979881636</v>
      </c>
      <c r="I41" s="52">
        <v>180000</v>
      </c>
      <c r="J41" s="472">
        <v>180000</v>
      </c>
      <c r="K41" s="54">
        <v>0</v>
      </c>
      <c r="L41" s="457" t="s">
        <v>15</v>
      </c>
      <c r="M41" s="3" t="s">
        <v>298</v>
      </c>
      <c r="N41" s="46" t="s">
        <v>17</v>
      </c>
      <c r="O41" s="575">
        <v>1800</v>
      </c>
    </row>
    <row r="42" spans="1:87">
      <c r="A42" s="3">
        <v>7</v>
      </c>
      <c r="B42" s="576" t="s">
        <v>132</v>
      </c>
      <c r="C42" s="577">
        <v>44646</v>
      </c>
      <c r="D42" s="146" t="s">
        <v>350</v>
      </c>
      <c r="E42" s="3">
        <v>200</v>
      </c>
      <c r="F42" s="3">
        <v>1</v>
      </c>
      <c r="G42" s="3">
        <v>14</v>
      </c>
      <c r="H42" s="3">
        <v>9358462804</v>
      </c>
      <c r="I42" s="52">
        <v>240000</v>
      </c>
      <c r="J42" s="578">
        <v>150000</v>
      </c>
      <c r="K42" s="54">
        <f>I42-J42-O42</f>
        <v>0</v>
      </c>
      <c r="L42" s="457" t="s">
        <v>15</v>
      </c>
      <c r="M42" s="3" t="s">
        <v>16</v>
      </c>
      <c r="N42" s="39">
        <v>44664</v>
      </c>
      <c r="O42" s="578">
        <v>90000</v>
      </c>
    </row>
    <row r="43" spans="1:87">
      <c r="A43" s="3">
        <v>7</v>
      </c>
      <c r="B43" s="579" t="s">
        <v>351</v>
      </c>
      <c r="C43" s="145">
        <v>44754</v>
      </c>
      <c r="D43" s="524" t="s">
        <v>352</v>
      </c>
      <c r="E43" s="3">
        <v>200</v>
      </c>
      <c r="F43" s="3">
        <v>2</v>
      </c>
      <c r="G43" s="3">
        <v>56</v>
      </c>
      <c r="H43" s="3">
        <v>9750789107</v>
      </c>
      <c r="I43" s="52">
        <v>328000</v>
      </c>
      <c r="J43" s="580">
        <v>13500</v>
      </c>
      <c r="K43" s="54">
        <f>I43-J43-O43-Q43-S43-U43</f>
        <v>269500</v>
      </c>
      <c r="L43" s="525">
        <v>8000</v>
      </c>
      <c r="M43" s="3" t="s">
        <v>69</v>
      </c>
      <c r="N43" s="39">
        <v>44833</v>
      </c>
      <c r="O43" s="580">
        <v>23000</v>
      </c>
      <c r="P43" s="56">
        <v>44846</v>
      </c>
      <c r="Q43" s="580">
        <v>10000</v>
      </c>
      <c r="R43" s="56">
        <v>44901</v>
      </c>
      <c r="S43" s="580">
        <v>2000</v>
      </c>
      <c r="T43" s="56">
        <v>44978</v>
      </c>
      <c r="U43" s="581">
        <v>10000</v>
      </c>
    </row>
    <row r="44" spans="1:87">
      <c r="A44" s="767">
        <v>7</v>
      </c>
      <c r="B44" s="854" t="s">
        <v>353</v>
      </c>
      <c r="C44" s="799">
        <v>44113</v>
      </c>
      <c r="D44" s="15" t="s">
        <v>354</v>
      </c>
      <c r="E44" s="3">
        <v>200</v>
      </c>
      <c r="F44" s="3">
        <v>1</v>
      </c>
      <c r="G44" s="3">
        <v>6</v>
      </c>
      <c r="I44" s="52">
        <v>342200</v>
      </c>
      <c r="J44" s="472">
        <v>90000</v>
      </c>
      <c r="K44" s="54">
        <f>I44-J44-O44-Q44-S44</f>
        <v>236400</v>
      </c>
      <c r="L44" s="525">
        <v>8000</v>
      </c>
      <c r="M44" s="3" t="s">
        <v>296</v>
      </c>
      <c r="N44" s="39">
        <v>45173</v>
      </c>
      <c r="O44" s="472">
        <v>5800</v>
      </c>
      <c r="P44" s="56">
        <v>45249</v>
      </c>
      <c r="Q44" s="472">
        <v>5000</v>
      </c>
      <c r="R44" s="56">
        <v>45615</v>
      </c>
      <c r="S44" s="488">
        <v>5000</v>
      </c>
    </row>
    <row r="45" spans="1:87">
      <c r="A45" s="3" t="s">
        <v>355</v>
      </c>
      <c r="B45" s="498" t="s">
        <v>356</v>
      </c>
      <c r="C45" s="39">
        <v>44964</v>
      </c>
      <c r="D45" s="411" t="s">
        <v>357</v>
      </c>
      <c r="E45" s="3">
        <v>125</v>
      </c>
      <c r="F45" s="3">
        <v>1</v>
      </c>
      <c r="G45" s="3">
        <v>38</v>
      </c>
      <c r="H45" s="3">
        <v>9079578379</v>
      </c>
      <c r="I45" s="52">
        <v>195500</v>
      </c>
      <c r="J45" s="582">
        <v>39000</v>
      </c>
      <c r="K45" s="54">
        <f>I45-J45-O45-Q45-S45-U45-W45-Y45-AA45-AC45</f>
        <v>0</v>
      </c>
      <c r="L45" s="525">
        <v>6521</v>
      </c>
      <c r="M45" s="3" t="s">
        <v>358</v>
      </c>
      <c r="N45" s="56">
        <v>44978</v>
      </c>
      <c r="O45" s="582">
        <v>11000</v>
      </c>
      <c r="P45" s="56">
        <v>45027</v>
      </c>
      <c r="Q45" s="582">
        <v>15000</v>
      </c>
      <c r="R45" s="56">
        <v>45052</v>
      </c>
      <c r="S45" s="582">
        <v>10000</v>
      </c>
      <c r="T45" s="56">
        <v>45086</v>
      </c>
      <c r="U45" s="583">
        <v>9000</v>
      </c>
      <c r="V45" s="56">
        <v>45110</v>
      </c>
      <c r="W45" s="583">
        <v>10000</v>
      </c>
      <c r="X45" s="56">
        <v>45180</v>
      </c>
      <c r="Y45" s="583">
        <v>9000</v>
      </c>
      <c r="Z45" s="56">
        <v>44893</v>
      </c>
      <c r="AA45" s="583">
        <v>12000</v>
      </c>
      <c r="AB45" s="56">
        <v>45719</v>
      </c>
      <c r="AC45" s="583">
        <v>80500</v>
      </c>
      <c r="AD45" s="806" t="s">
        <v>17</v>
      </c>
      <c r="AE45" s="159">
        <v>2932</v>
      </c>
    </row>
    <row r="46" spans="1:87">
      <c r="A46" s="3">
        <v>7</v>
      </c>
      <c r="B46" s="584" t="s">
        <v>359</v>
      </c>
      <c r="C46" s="39">
        <v>45394</v>
      </c>
      <c r="D46" s="15" t="s">
        <v>360</v>
      </c>
      <c r="E46" s="3">
        <v>200</v>
      </c>
      <c r="G46" s="3">
        <v>16</v>
      </c>
      <c r="H46" s="3">
        <v>9368163742</v>
      </c>
      <c r="I46" s="585">
        <v>356800</v>
      </c>
      <c r="J46" s="586">
        <v>40000</v>
      </c>
      <c r="K46" s="54">
        <f>I46-J46-O46-Q46-S46</f>
        <v>264000</v>
      </c>
      <c r="L46" s="525">
        <v>13200</v>
      </c>
      <c r="M46" s="3" t="s">
        <v>53</v>
      </c>
      <c r="N46" s="587">
        <v>45502</v>
      </c>
      <c r="O46" s="586">
        <v>26400</v>
      </c>
      <c r="P46" s="587">
        <v>45594</v>
      </c>
      <c r="Q46" s="469">
        <v>13200</v>
      </c>
      <c r="R46" s="761">
        <v>45798</v>
      </c>
      <c r="S46" s="469">
        <v>13200</v>
      </c>
      <c r="T46" s="56"/>
      <c r="U46" s="188"/>
      <c r="V46" s="56"/>
      <c r="W46" s="188"/>
      <c r="X46" s="56"/>
      <c r="Y46" s="188"/>
      <c r="Z46" s="56"/>
      <c r="AA46" s="188"/>
    </row>
    <row r="47" spans="1:87">
      <c r="A47" s="3">
        <v>7</v>
      </c>
      <c r="B47" s="588" t="s">
        <v>201</v>
      </c>
      <c r="C47" s="39">
        <v>45706</v>
      </c>
      <c r="D47" s="15" t="s">
        <v>361</v>
      </c>
      <c r="E47" s="3">
        <v>200</v>
      </c>
      <c r="G47" s="3">
        <v>21</v>
      </c>
      <c r="H47" s="3">
        <v>9357171507</v>
      </c>
      <c r="I47" s="52">
        <v>472000</v>
      </c>
      <c r="J47" s="589">
        <v>17800</v>
      </c>
      <c r="K47" s="54">
        <f>I47-J47-O47-Q47-S47</f>
        <v>423200</v>
      </c>
      <c r="L47" s="525">
        <v>6000</v>
      </c>
      <c r="M47" s="3" t="s">
        <v>175</v>
      </c>
      <c r="N47" s="56">
        <v>45783</v>
      </c>
      <c r="O47" s="762">
        <v>10000</v>
      </c>
      <c r="P47" s="56">
        <v>45870</v>
      </c>
      <c r="Q47" s="762">
        <v>6000</v>
      </c>
      <c r="R47" s="56">
        <v>46029</v>
      </c>
      <c r="S47" s="762">
        <v>15000</v>
      </c>
      <c r="T47" s="56"/>
      <c r="U47" s="188"/>
      <c r="V47" s="56"/>
      <c r="W47" s="188"/>
      <c r="X47" s="56"/>
      <c r="Y47" s="188"/>
      <c r="Z47" s="56"/>
      <c r="AA47" s="188"/>
    </row>
    <row r="48" spans="1:87">
      <c r="A48" s="767">
        <v>7</v>
      </c>
      <c r="B48" s="24" t="s">
        <v>313</v>
      </c>
      <c r="C48" s="799">
        <v>44392</v>
      </c>
      <c r="D48" s="496" t="s">
        <v>362</v>
      </c>
      <c r="E48" s="9" t="s">
        <v>154</v>
      </c>
      <c r="F48" s="9">
        <v>1</v>
      </c>
      <c r="G48" s="9" t="s">
        <v>363</v>
      </c>
      <c r="H48" s="9"/>
      <c r="I48" s="20">
        <v>224400</v>
      </c>
      <c r="J48" s="507">
        <v>5000</v>
      </c>
      <c r="K48" s="29">
        <f>SUM(I48-J48-O48-Q48-S48-U48-W48)</f>
        <v>144000</v>
      </c>
      <c r="L48" s="460">
        <v>8100</v>
      </c>
      <c r="M48" s="10" t="s">
        <v>53</v>
      </c>
      <c r="N48" s="56">
        <v>44407</v>
      </c>
      <c r="O48" s="559">
        <v>5000</v>
      </c>
      <c r="P48" s="56">
        <v>44468</v>
      </c>
      <c r="Q48" s="559">
        <v>20000</v>
      </c>
      <c r="R48" s="56">
        <v>44559</v>
      </c>
      <c r="S48" s="559">
        <v>15000</v>
      </c>
      <c r="T48" s="56">
        <v>44655</v>
      </c>
      <c r="U48" s="590">
        <v>5000</v>
      </c>
      <c r="V48" s="56">
        <v>45225</v>
      </c>
      <c r="W48" s="188">
        <v>30400</v>
      </c>
    </row>
    <row r="49" spans="1:43">
      <c r="B49" s="591" t="s">
        <v>330</v>
      </c>
      <c r="C49" s="577">
        <v>44606</v>
      </c>
      <c r="D49" s="17" t="s">
        <v>364</v>
      </c>
      <c r="E49" s="9">
        <v>200</v>
      </c>
      <c r="F49" s="9">
        <v>2</v>
      </c>
      <c r="G49" s="9">
        <v>54</v>
      </c>
      <c r="H49" s="9"/>
      <c r="I49" s="20">
        <v>240000</v>
      </c>
      <c r="J49" s="592">
        <v>100000</v>
      </c>
      <c r="K49" s="29">
        <f>I49-J49-O49-Q49-S49-U49</f>
        <v>0</v>
      </c>
      <c r="L49" s="460" t="s">
        <v>15</v>
      </c>
      <c r="M49" s="10" t="s">
        <v>16</v>
      </c>
      <c r="N49" s="56">
        <v>44622</v>
      </c>
      <c r="O49" s="592">
        <v>50000</v>
      </c>
      <c r="P49" s="56">
        <v>44643</v>
      </c>
      <c r="Q49" s="508">
        <v>50000</v>
      </c>
      <c r="R49" s="56">
        <v>44663</v>
      </c>
      <c r="S49" s="508">
        <v>20000</v>
      </c>
      <c r="T49" s="56">
        <v>44700</v>
      </c>
      <c r="U49" s="593">
        <v>20000</v>
      </c>
      <c r="V49" s="594" t="s">
        <v>79</v>
      </c>
      <c r="W49" s="522">
        <v>300</v>
      </c>
    </row>
    <row r="50" spans="1:43">
      <c r="I50" s="52">
        <f ca="1">SUM(I2:I88)</f>
        <v>12681960</v>
      </c>
      <c r="J50" s="488">
        <f ca="1">SUM(J2:J88)</f>
        <v>1879216</v>
      </c>
      <c r="K50" s="54">
        <f>SUM(K3:K49)</f>
        <v>6414482</v>
      </c>
    </row>
    <row r="54" spans="1:43">
      <c r="A54" s="381"/>
      <c r="B54" s="381" t="s">
        <v>365</v>
      </c>
      <c r="C54" s="381"/>
    </row>
    <row r="55" spans="1:43">
      <c r="A55" s="3">
        <v>7</v>
      </c>
      <c r="B55" s="482" t="s">
        <v>236</v>
      </c>
      <c r="C55" s="145">
        <v>44382</v>
      </c>
      <c r="D55" s="15" t="s">
        <v>366</v>
      </c>
      <c r="E55" s="3">
        <v>400</v>
      </c>
      <c r="F55" s="3">
        <v>2</v>
      </c>
      <c r="G55" s="3">
        <v>1</v>
      </c>
      <c r="H55" s="3">
        <v>9215691797</v>
      </c>
      <c r="I55" s="52">
        <v>580000</v>
      </c>
      <c r="J55" s="595">
        <v>10000</v>
      </c>
      <c r="K55" s="54">
        <f>SUM(I55-J55-O55-Q55)</f>
        <v>570000</v>
      </c>
      <c r="L55" s="457" t="s">
        <v>15</v>
      </c>
      <c r="M55" s="3" t="s">
        <v>298</v>
      </c>
      <c r="N55" s="15" t="s">
        <v>367</v>
      </c>
    </row>
    <row r="56" spans="1:43">
      <c r="A56" s="3">
        <v>7</v>
      </c>
      <c r="B56" s="596" t="s">
        <v>14</v>
      </c>
      <c r="C56" s="479">
        <v>44389</v>
      </c>
      <c r="D56" s="26" t="s">
        <v>368</v>
      </c>
      <c r="E56" s="9">
        <v>200</v>
      </c>
      <c r="F56" s="9">
        <v>1</v>
      </c>
      <c r="G56" s="9">
        <v>4</v>
      </c>
      <c r="H56" s="9">
        <v>9269722205</v>
      </c>
      <c r="I56" s="20">
        <v>299200</v>
      </c>
      <c r="J56" s="597">
        <v>15000</v>
      </c>
      <c r="K56" s="29">
        <f>SUM(I56-J56-O56-Q56)</f>
        <v>257400</v>
      </c>
      <c r="L56" s="460">
        <v>10800</v>
      </c>
      <c r="M56" s="10" t="s">
        <v>53</v>
      </c>
      <c r="N56" s="30">
        <v>44406</v>
      </c>
      <c r="O56" s="597">
        <v>26800</v>
      </c>
      <c r="P56" s="598" t="s">
        <v>369</v>
      </c>
      <c r="Q56" s="599"/>
      <c r="R56" s="913" t="s">
        <v>370</v>
      </c>
      <c r="S56" s="913"/>
      <c r="T56" s="913"/>
      <c r="U56" s="914" t="s">
        <v>371</v>
      </c>
      <c r="V56" s="914"/>
      <c r="W56" s="914"/>
      <c r="X56" s="62"/>
      <c r="Y56" s="152"/>
      <c r="AA56" s="456"/>
      <c r="AC56" s="456"/>
      <c r="AE56" s="456"/>
      <c r="AG56" s="456"/>
    </row>
    <row r="57" spans="1:43">
      <c r="A57" s="3">
        <v>3</v>
      </c>
      <c r="B57" s="600" t="s">
        <v>52</v>
      </c>
      <c r="C57" s="145">
        <v>44987</v>
      </c>
      <c r="D57" s="26" t="s">
        <v>372</v>
      </c>
      <c r="E57" s="9">
        <v>200</v>
      </c>
      <c r="F57" s="9">
        <v>2</v>
      </c>
      <c r="G57" s="9">
        <v>52</v>
      </c>
      <c r="H57" s="9">
        <v>9551536452</v>
      </c>
      <c r="I57" s="20">
        <v>385600</v>
      </c>
      <c r="J57" s="475">
        <v>20000</v>
      </c>
      <c r="K57" s="29">
        <f>I57-J57-O57</f>
        <v>360600</v>
      </c>
      <c r="L57" s="460">
        <v>9600</v>
      </c>
      <c r="M57" s="10" t="s">
        <v>373</v>
      </c>
      <c r="N57" s="30">
        <v>45015</v>
      </c>
      <c r="O57" s="601">
        <v>5000</v>
      </c>
      <c r="P57" s="915" t="s">
        <v>374</v>
      </c>
      <c r="Q57" s="915"/>
      <c r="R57" s="915"/>
      <c r="S57" s="488"/>
      <c r="T57" s="11"/>
      <c r="U57" s="152"/>
      <c r="V57" s="62"/>
      <c r="W57" s="152"/>
      <c r="X57" s="62"/>
      <c r="Y57" s="152"/>
      <c r="AA57" s="456"/>
      <c r="AC57" s="456"/>
      <c r="AE57" s="456"/>
      <c r="AG57" s="456"/>
    </row>
    <row r="58" spans="1:43">
      <c r="A58" s="3">
        <v>7</v>
      </c>
      <c r="B58" s="526" t="s">
        <v>322</v>
      </c>
      <c r="C58" s="39">
        <v>45192</v>
      </c>
      <c r="D58" s="15" t="s">
        <v>323</v>
      </c>
      <c r="E58" s="3">
        <v>200</v>
      </c>
      <c r="F58" s="3">
        <v>1</v>
      </c>
      <c r="G58" s="3">
        <v>9</v>
      </c>
      <c r="H58" s="3">
        <v>9973023713</v>
      </c>
      <c r="I58" s="52">
        <v>300000</v>
      </c>
      <c r="J58" s="527">
        <v>300000</v>
      </c>
      <c r="K58" s="54">
        <f>I58-J58</f>
        <v>0</v>
      </c>
      <c r="L58" s="525"/>
      <c r="M58" s="3" t="s">
        <v>16</v>
      </c>
      <c r="N58" s="905" t="s">
        <v>677</v>
      </c>
      <c r="O58" s="905"/>
      <c r="P58" s="905"/>
      <c r="Q58" s="488"/>
      <c r="R58" s="56"/>
      <c r="S58" s="488"/>
      <c r="T58" s="56"/>
      <c r="U58" s="188"/>
      <c r="V58" s="56"/>
      <c r="W58" s="188"/>
      <c r="X58" s="56"/>
      <c r="Y58" s="188"/>
      <c r="Z58" s="56"/>
      <c r="AA58" s="188"/>
      <c r="AB58" s="56"/>
      <c r="AC58" s="188"/>
      <c r="AD58" s="56"/>
      <c r="AE58" s="188"/>
      <c r="AF58" s="56"/>
      <c r="AG58" s="188"/>
      <c r="AH58" s="56"/>
      <c r="AI58" s="188"/>
      <c r="AJ58" s="56"/>
      <c r="AK58" s="188"/>
      <c r="AL58" s="56"/>
      <c r="AM58" s="188"/>
      <c r="AN58" s="56"/>
      <c r="AO58" s="188"/>
      <c r="AP58" s="56"/>
      <c r="AQ58" s="188"/>
    </row>
    <row r="59" spans="1:43">
      <c r="A59" s="3">
        <v>3</v>
      </c>
      <c r="B59" s="516" t="s">
        <v>317</v>
      </c>
      <c r="C59" s="479" t="s">
        <v>70</v>
      </c>
      <c r="D59" s="15" t="s">
        <v>318</v>
      </c>
      <c r="E59" s="9">
        <v>200</v>
      </c>
      <c r="F59" s="517">
        <v>2</v>
      </c>
      <c r="G59" s="517">
        <v>60</v>
      </c>
      <c r="H59" s="9">
        <v>9182005815</v>
      </c>
      <c r="I59" s="52">
        <v>299200</v>
      </c>
      <c r="J59" s="518">
        <v>93000</v>
      </c>
      <c r="K59" s="54">
        <f>SUM(I59-J59-O59-Q59-S59-U59-W59)</f>
        <v>0</v>
      </c>
      <c r="L59" s="55">
        <v>10800</v>
      </c>
      <c r="M59" s="3" t="s">
        <v>30</v>
      </c>
      <c r="N59" s="30">
        <v>44459</v>
      </c>
      <c r="O59" s="519">
        <v>11000</v>
      </c>
      <c r="P59" s="37">
        <v>44511</v>
      </c>
      <c r="Q59" s="518">
        <v>11000</v>
      </c>
      <c r="R59" s="37">
        <v>44522</v>
      </c>
      <c r="S59" s="520">
        <v>10000</v>
      </c>
      <c r="T59" s="62" t="s">
        <v>319</v>
      </c>
      <c r="U59" s="520">
        <v>100000</v>
      </c>
      <c r="V59" s="80">
        <v>45015</v>
      </c>
      <c r="W59" s="521">
        <v>74200</v>
      </c>
      <c r="X59" s="522" t="s">
        <v>17</v>
      </c>
      <c r="Y59" s="523">
        <v>1000</v>
      </c>
      <c r="Z59" s="901" t="s">
        <v>684</v>
      </c>
      <c r="AA59" s="901"/>
      <c r="AB59" s="901"/>
      <c r="AC59" s="456"/>
      <c r="AE59" s="456"/>
    </row>
    <row r="60" spans="1:43" s="769" customFormat="1">
      <c r="A60" s="767"/>
      <c r="B60" s="809"/>
      <c r="C60" s="799"/>
      <c r="D60" s="810"/>
      <c r="E60" s="809"/>
      <c r="F60" s="809"/>
      <c r="G60" s="809"/>
      <c r="H60" s="809"/>
      <c r="I60" s="811"/>
      <c r="J60" s="812"/>
      <c r="K60" s="813"/>
      <c r="L60" s="814"/>
      <c r="M60" s="815"/>
      <c r="N60" s="816"/>
      <c r="O60" s="812"/>
      <c r="P60" s="816"/>
      <c r="Q60" s="816"/>
      <c r="R60" s="816"/>
      <c r="S60" s="808"/>
      <c r="T60" s="817"/>
      <c r="U60" s="818"/>
      <c r="V60" s="819"/>
      <c r="W60" s="818"/>
      <c r="X60" s="819"/>
      <c r="Y60" s="818"/>
      <c r="AA60" s="820"/>
      <c r="AC60" s="820"/>
      <c r="AE60" s="820"/>
      <c r="AG60" s="820"/>
    </row>
    <row r="62" spans="1:43">
      <c r="A62" s="381" t="s">
        <v>375</v>
      </c>
      <c r="B62" s="381"/>
      <c r="C62" s="381"/>
    </row>
    <row r="63" spans="1:43">
      <c r="A63" s="3">
        <v>7</v>
      </c>
      <c r="B63" s="602" t="s">
        <v>376</v>
      </c>
      <c r="C63" s="145">
        <v>44523</v>
      </c>
      <c r="D63" s="15" t="s">
        <v>377</v>
      </c>
      <c r="E63" s="3">
        <v>200</v>
      </c>
      <c r="F63" s="3">
        <v>1</v>
      </c>
      <c r="G63" s="3">
        <v>18</v>
      </c>
      <c r="H63" s="3">
        <v>9356928712</v>
      </c>
      <c r="I63" s="52">
        <v>349200</v>
      </c>
      <c r="J63" s="603">
        <v>10000</v>
      </c>
      <c r="K63" s="54">
        <f>I63-J63</f>
        <v>339200</v>
      </c>
      <c r="L63" s="457">
        <v>9700</v>
      </c>
      <c r="M63" s="3" t="s">
        <v>306</v>
      </c>
      <c r="N63" s="604">
        <v>44582</v>
      </c>
      <c r="O63" s="605">
        <v>19400</v>
      </c>
    </row>
    <row r="64" spans="1:43">
      <c r="A64" s="3">
        <v>5</v>
      </c>
      <c r="B64" s="606" t="s">
        <v>378</v>
      </c>
      <c r="C64" s="145">
        <v>44754</v>
      </c>
      <c r="D64" s="524" t="s">
        <v>379</v>
      </c>
      <c r="E64" s="3">
        <v>200</v>
      </c>
      <c r="F64" s="3">
        <v>2</v>
      </c>
      <c r="G64" s="3">
        <v>49</v>
      </c>
      <c r="H64" s="3">
        <v>9973480585</v>
      </c>
      <c r="I64" s="52">
        <v>299200</v>
      </c>
      <c r="J64" s="488">
        <v>6000</v>
      </c>
      <c r="K64" s="54">
        <f>I64-J64-O64</f>
        <v>278200</v>
      </c>
      <c r="L64" s="525">
        <v>10800</v>
      </c>
      <c r="M64" s="3" t="s">
        <v>53</v>
      </c>
      <c r="N64" s="39">
        <v>44777</v>
      </c>
      <c r="O64" s="488">
        <v>15000</v>
      </c>
    </row>
    <row r="65" spans="1:33">
      <c r="A65" s="3">
        <v>7</v>
      </c>
      <c r="B65" s="147" t="s">
        <v>20</v>
      </c>
      <c r="C65" s="56">
        <v>44901</v>
      </c>
      <c r="D65" s="56" t="s">
        <v>380</v>
      </c>
      <c r="E65" s="3">
        <v>200</v>
      </c>
      <c r="G65" s="3">
        <v>9</v>
      </c>
      <c r="H65" s="3">
        <v>997748444</v>
      </c>
      <c r="I65" s="52">
        <v>349200</v>
      </c>
      <c r="K65" s="54"/>
      <c r="L65" s="525">
        <v>9700</v>
      </c>
      <c r="M65" s="3" t="s">
        <v>306</v>
      </c>
      <c r="N65" s="56" t="s">
        <v>381</v>
      </c>
      <c r="O65" s="488"/>
      <c r="P65" s="56">
        <v>44965</v>
      </c>
      <c r="Q65" s="488"/>
      <c r="R65" s="56"/>
      <c r="S65" s="488"/>
      <c r="T65" s="56"/>
      <c r="U65" s="188"/>
      <c r="V65" s="56"/>
      <c r="W65" s="188"/>
      <c r="X65" s="56"/>
      <c r="Y65" s="607"/>
      <c r="Z65" s="56"/>
      <c r="AA65" s="607"/>
    </row>
    <row r="66" spans="1:33">
      <c r="A66" s="3">
        <v>7</v>
      </c>
      <c r="B66" s="31" t="s">
        <v>33</v>
      </c>
      <c r="C66" s="145">
        <v>44424</v>
      </c>
      <c r="D66" s="15" t="s">
        <v>382</v>
      </c>
      <c r="E66" s="3">
        <v>200</v>
      </c>
      <c r="F66" s="3">
        <v>2</v>
      </c>
      <c r="G66" s="3">
        <v>59</v>
      </c>
      <c r="I66" s="52">
        <v>269440</v>
      </c>
      <c r="J66" s="472">
        <v>10000</v>
      </c>
      <c r="K66" s="54">
        <f>SUM(I66-J66-O66-Q66)</f>
        <v>251440</v>
      </c>
      <c r="L66" s="525">
        <v>19120</v>
      </c>
      <c r="M66" s="3" t="s">
        <v>66</v>
      </c>
      <c r="N66" s="56">
        <v>44490</v>
      </c>
      <c r="O66" s="472">
        <v>5000</v>
      </c>
      <c r="P66" s="56">
        <v>44526</v>
      </c>
      <c r="Q66" s="472">
        <v>3000</v>
      </c>
      <c r="R66" s="15" t="s">
        <v>383</v>
      </c>
    </row>
    <row r="67" spans="1:33">
      <c r="A67" s="3">
        <v>7</v>
      </c>
      <c r="B67" s="608" t="s">
        <v>384</v>
      </c>
      <c r="C67" s="479">
        <v>44964</v>
      </c>
      <c r="D67" s="26" t="s">
        <v>385</v>
      </c>
      <c r="E67" s="9">
        <v>200</v>
      </c>
      <c r="F67" s="9">
        <v>1</v>
      </c>
      <c r="G67" s="9">
        <v>6</v>
      </c>
      <c r="H67" s="9">
        <v>9359949183</v>
      </c>
      <c r="I67" s="20">
        <v>314180</v>
      </c>
      <c r="J67" s="609">
        <v>200000</v>
      </c>
      <c r="K67" s="29">
        <f>I67-J67</f>
        <v>114180</v>
      </c>
      <c r="L67" s="460"/>
      <c r="M67" s="10" t="s">
        <v>66</v>
      </c>
      <c r="N67" s="140" t="s">
        <v>17</v>
      </c>
      <c r="O67" s="610">
        <v>500</v>
      </c>
      <c r="P67" s="915" t="s">
        <v>386</v>
      </c>
      <c r="Q67" s="915"/>
      <c r="R67" s="915"/>
      <c r="S67" s="488"/>
      <c r="T67" s="37"/>
      <c r="U67" s="478"/>
      <c r="V67" s="80"/>
      <c r="W67" s="478"/>
      <c r="X67" s="80"/>
      <c r="Y67" s="478"/>
      <c r="AA67" s="456"/>
      <c r="AC67" s="456"/>
      <c r="AE67" s="456"/>
      <c r="AG67" s="456"/>
    </row>
    <row r="68" spans="1:33">
      <c r="A68" s="3">
        <v>10</v>
      </c>
      <c r="B68" s="147" t="s">
        <v>387</v>
      </c>
      <c r="C68" s="577">
        <v>44645</v>
      </c>
      <c r="D68" s="524" t="s">
        <v>388</v>
      </c>
      <c r="E68" s="3">
        <v>200</v>
      </c>
      <c r="F68" s="3">
        <v>1</v>
      </c>
      <c r="G68" s="3">
        <v>23</v>
      </c>
      <c r="H68" s="3">
        <v>9979445777</v>
      </c>
      <c r="I68" s="52">
        <v>299200</v>
      </c>
      <c r="J68" s="461">
        <v>26000</v>
      </c>
      <c r="K68" s="54">
        <f>I68-J68-O68</f>
        <v>270200</v>
      </c>
      <c r="L68" s="525">
        <v>7588</v>
      </c>
      <c r="M68" s="3" t="s">
        <v>69</v>
      </c>
      <c r="N68" s="39">
        <v>44655</v>
      </c>
      <c r="O68" s="461">
        <v>3000</v>
      </c>
      <c r="P68" s="901" t="s">
        <v>389</v>
      </c>
      <c r="Q68" s="901"/>
      <c r="R68" s="901"/>
    </row>
    <row r="69" spans="1:33">
      <c r="C69" s="145"/>
      <c r="I69" s="52"/>
      <c r="J69" s="488"/>
      <c r="K69" s="54"/>
      <c r="L69" s="525"/>
      <c r="N69" s="56"/>
      <c r="O69" s="488"/>
      <c r="P69" s="56"/>
      <c r="Q69" s="488"/>
    </row>
    <row r="71" spans="1:33">
      <c r="A71" s="917" t="s">
        <v>390</v>
      </c>
      <c r="B71" s="917"/>
      <c r="C71" s="917"/>
    </row>
    <row r="72" spans="1:33">
      <c r="A72" s="3">
        <v>7</v>
      </c>
      <c r="B72" s="27" t="s">
        <v>20</v>
      </c>
      <c r="C72" s="577">
        <v>44704</v>
      </c>
      <c r="D72" s="496" t="s">
        <v>391</v>
      </c>
      <c r="E72" s="9">
        <v>125</v>
      </c>
      <c r="F72" s="9">
        <v>1</v>
      </c>
      <c r="G72" s="9">
        <v>38</v>
      </c>
      <c r="H72" s="9"/>
      <c r="I72" s="20">
        <v>218250</v>
      </c>
      <c r="J72" s="467" t="s">
        <v>15</v>
      </c>
      <c r="K72" s="29">
        <f>I72-O72-Q72</f>
        <v>213250</v>
      </c>
      <c r="L72" s="460">
        <v>6063</v>
      </c>
      <c r="M72" s="10" t="s">
        <v>306</v>
      </c>
      <c r="N72" s="30">
        <v>44704</v>
      </c>
      <c r="O72" s="467">
        <v>2500</v>
      </c>
      <c r="P72" s="30">
        <v>44743</v>
      </c>
      <c r="Q72" s="467">
        <v>2500</v>
      </c>
      <c r="R72" s="918" t="s">
        <v>392</v>
      </c>
      <c r="S72" s="918"/>
      <c r="T72" s="37">
        <v>44985</v>
      </c>
      <c r="U72" s="152"/>
      <c r="V72" s="62"/>
      <c r="W72" s="152"/>
      <c r="X72" s="62"/>
      <c r="Y72" s="152"/>
      <c r="AA72" s="456"/>
      <c r="AC72" s="456"/>
      <c r="AE72" s="456"/>
      <c r="AG72" s="456"/>
    </row>
    <row r="73" spans="1:33">
      <c r="A73" s="3">
        <v>7</v>
      </c>
      <c r="B73" s="27" t="s">
        <v>20</v>
      </c>
      <c r="C73" s="145">
        <v>44428</v>
      </c>
      <c r="D73" s="496" t="s">
        <v>393</v>
      </c>
      <c r="E73" s="9">
        <v>200</v>
      </c>
      <c r="F73" s="9">
        <v>1</v>
      </c>
      <c r="G73" s="9">
        <v>9</v>
      </c>
      <c r="H73" s="9">
        <v>9354270024</v>
      </c>
      <c r="I73" s="20">
        <v>349200</v>
      </c>
      <c r="J73" s="611">
        <v>9700</v>
      </c>
      <c r="K73" s="29">
        <f>SUM(I73-J73-O73-Q73-S73-U73)</f>
        <v>300700</v>
      </c>
      <c r="L73" s="460" t="s">
        <v>310</v>
      </c>
      <c r="M73" s="10" t="s">
        <v>69</v>
      </c>
      <c r="N73" s="56">
        <v>44463</v>
      </c>
      <c r="O73" s="29">
        <v>9700</v>
      </c>
      <c r="P73" s="56">
        <v>44497</v>
      </c>
      <c r="Q73" s="488">
        <v>9700</v>
      </c>
      <c r="R73" s="56">
        <v>44550</v>
      </c>
      <c r="S73" s="612">
        <v>9700</v>
      </c>
      <c r="T73" s="56">
        <v>44585</v>
      </c>
      <c r="U73" s="607">
        <v>9700</v>
      </c>
      <c r="V73" s="901" t="s">
        <v>394</v>
      </c>
      <c r="W73" s="901"/>
      <c r="X73" s="901"/>
      <c r="Y73" s="901" t="s">
        <v>395</v>
      </c>
      <c r="Z73" s="901"/>
      <c r="AA73" s="901"/>
      <c r="AB73" s="901" t="s">
        <v>664</v>
      </c>
      <c r="AC73" s="901"/>
      <c r="AD73" s="901"/>
    </row>
    <row r="74" spans="1:33">
      <c r="A74" s="3">
        <v>7</v>
      </c>
      <c r="B74" s="27" t="s">
        <v>20</v>
      </c>
      <c r="C74" s="145">
        <v>44774</v>
      </c>
      <c r="D74" s="26" t="s">
        <v>396</v>
      </c>
      <c r="E74" s="9">
        <v>200</v>
      </c>
      <c r="F74" s="9"/>
      <c r="G74" s="9">
        <v>29</v>
      </c>
      <c r="H74" s="9">
        <v>9077176130</v>
      </c>
      <c r="I74" s="20">
        <v>349200</v>
      </c>
      <c r="J74" s="467" t="s">
        <v>15</v>
      </c>
      <c r="K74" s="29">
        <f>I74-O74-Q74</f>
        <v>346700</v>
      </c>
      <c r="L74" s="460">
        <v>9700</v>
      </c>
      <c r="M74" s="10" t="s">
        <v>306</v>
      </c>
      <c r="N74" s="30">
        <v>44774</v>
      </c>
      <c r="O74" s="467">
        <v>2500</v>
      </c>
      <c r="P74" s="30"/>
      <c r="Q74" s="467"/>
      <c r="R74" s="37"/>
      <c r="S74" s="488"/>
      <c r="T74" s="37"/>
      <c r="U74" s="478"/>
      <c r="V74" s="80"/>
      <c r="W74" s="478"/>
      <c r="X74" s="62"/>
      <c r="Y74" s="152"/>
      <c r="AA74" s="456"/>
      <c r="AC74" s="456"/>
      <c r="AE74" s="456"/>
      <c r="AG74" s="456"/>
    </row>
    <row r="75" spans="1:33">
      <c r="A75" s="3">
        <v>7</v>
      </c>
      <c r="B75" s="187" t="s">
        <v>397</v>
      </c>
      <c r="C75" s="145">
        <v>44959</v>
      </c>
      <c r="D75" s="26" t="s">
        <v>398</v>
      </c>
      <c r="E75" s="9">
        <v>200</v>
      </c>
      <c r="F75" s="9">
        <v>2</v>
      </c>
      <c r="G75" s="9">
        <v>47</v>
      </c>
      <c r="H75" s="9">
        <v>9667029971</v>
      </c>
      <c r="I75" s="20">
        <v>385600</v>
      </c>
      <c r="J75" s="512">
        <v>5000</v>
      </c>
      <c r="K75" s="29">
        <f>I75-J75-O75</f>
        <v>345600</v>
      </c>
      <c r="L75" s="460">
        <v>9600</v>
      </c>
      <c r="M75" s="10" t="s">
        <v>399</v>
      </c>
      <c r="N75" s="30">
        <v>44978</v>
      </c>
      <c r="O75" s="512">
        <v>35000</v>
      </c>
      <c r="P75" s="915" t="s">
        <v>400</v>
      </c>
      <c r="Q75" s="915"/>
      <c r="R75" s="915"/>
      <c r="S75" s="488"/>
      <c r="T75" s="37"/>
      <c r="U75" s="478"/>
      <c r="V75" s="80"/>
      <c r="W75" s="478"/>
      <c r="X75" s="62"/>
      <c r="Y75" s="152"/>
      <c r="AA75" s="456"/>
      <c r="AC75" s="456"/>
      <c r="AE75" s="456"/>
      <c r="AG75" s="456"/>
    </row>
    <row r="77" spans="1:33">
      <c r="A77" s="919" t="s">
        <v>127</v>
      </c>
      <c r="B77" s="919"/>
      <c r="C77" s="919"/>
    </row>
    <row r="78" spans="1:33">
      <c r="A78" s="3">
        <v>7</v>
      </c>
      <c r="B78" s="613" t="s">
        <v>401</v>
      </c>
      <c r="C78" s="145">
        <v>44383</v>
      </c>
      <c r="D78" s="15" t="s">
        <v>402</v>
      </c>
      <c r="E78" s="3">
        <v>200</v>
      </c>
      <c r="F78" s="3">
        <v>2</v>
      </c>
      <c r="G78" s="3">
        <v>61</v>
      </c>
      <c r="I78" s="52">
        <v>299200</v>
      </c>
      <c r="J78" s="469">
        <v>5000</v>
      </c>
      <c r="K78" s="54">
        <f>SUM(I78-J78-O78)</f>
        <v>294200</v>
      </c>
      <c r="L78" s="525">
        <v>10800</v>
      </c>
      <c r="M78" s="3" t="s">
        <v>53</v>
      </c>
    </row>
    <row r="79" spans="1:33">
      <c r="A79" s="3">
        <v>7</v>
      </c>
      <c r="B79" s="27" t="s">
        <v>20</v>
      </c>
      <c r="C79" s="479">
        <v>44435</v>
      </c>
      <c r="D79" s="15" t="s">
        <v>403</v>
      </c>
      <c r="E79" s="9">
        <v>200</v>
      </c>
      <c r="F79" s="517">
        <v>1</v>
      </c>
      <c r="G79" s="517">
        <v>11</v>
      </c>
      <c r="H79" s="9">
        <v>9511993109</v>
      </c>
      <c r="I79" s="52">
        <v>328000</v>
      </c>
      <c r="J79" s="461">
        <v>5000</v>
      </c>
      <c r="K79" s="29">
        <f>SUM(I79-J79-O79-Q79)</f>
        <v>323000</v>
      </c>
      <c r="L79" s="55">
        <v>8000</v>
      </c>
      <c r="M79" s="3" t="s">
        <v>69</v>
      </c>
      <c r="N79" s="10"/>
      <c r="O79" s="454"/>
      <c r="P79" s="11"/>
      <c r="R79" s="11"/>
      <c r="S79" s="152"/>
      <c r="T79" s="62"/>
      <c r="U79" s="152"/>
      <c r="V79" s="62"/>
      <c r="W79" s="152"/>
      <c r="Y79" s="456"/>
      <c r="AA79" s="456"/>
      <c r="AC79" s="456"/>
      <c r="AE79" s="456"/>
    </row>
    <row r="80" spans="1:33">
      <c r="A80" s="3">
        <v>7</v>
      </c>
      <c r="B80" s="506" t="s">
        <v>404</v>
      </c>
      <c r="C80" s="16">
        <v>44469</v>
      </c>
      <c r="D80" s="26" t="s">
        <v>405</v>
      </c>
      <c r="E80" s="9">
        <v>200</v>
      </c>
      <c r="F80" s="9">
        <v>2</v>
      </c>
      <c r="G80" s="9">
        <v>46</v>
      </c>
      <c r="H80" s="1"/>
      <c r="I80" s="20">
        <v>349200</v>
      </c>
      <c r="J80" s="507">
        <v>5000</v>
      </c>
      <c r="K80" s="29">
        <f>I80-J80-O80</f>
        <v>344200</v>
      </c>
      <c r="L80" s="460">
        <v>9700</v>
      </c>
      <c r="M80" s="10" t="s">
        <v>69</v>
      </c>
      <c r="N80" s="4"/>
      <c r="O80" s="454"/>
      <c r="P80" s="10"/>
      <c r="Q80" s="454"/>
      <c r="R80" s="11"/>
      <c r="T80" s="11"/>
      <c r="U80" s="152"/>
      <c r="V80" s="62"/>
      <c r="W80" s="152"/>
      <c r="X80" s="62"/>
      <c r="Y80" s="152"/>
      <c r="AA80" s="456"/>
      <c r="AC80" s="456"/>
      <c r="AE80" s="456"/>
      <c r="AG80" s="456"/>
    </row>
    <row r="81" spans="1:33">
      <c r="A81" s="3">
        <v>7</v>
      </c>
      <c r="B81" s="614" t="s">
        <v>121</v>
      </c>
      <c r="C81" s="16">
        <v>44789</v>
      </c>
      <c r="D81" s="26" t="s">
        <v>406</v>
      </c>
      <c r="E81" s="9">
        <v>125</v>
      </c>
      <c r="F81" s="9">
        <v>1</v>
      </c>
      <c r="G81" s="9">
        <v>38</v>
      </c>
      <c r="H81" s="1"/>
      <c r="I81" s="20">
        <v>218250</v>
      </c>
      <c r="J81" s="467" t="s">
        <v>15</v>
      </c>
      <c r="K81" s="29">
        <f>I81-O81-Q81</f>
        <v>215750</v>
      </c>
      <c r="L81" s="460">
        <v>6063</v>
      </c>
      <c r="M81" s="10" t="s">
        <v>306</v>
      </c>
      <c r="N81" s="30">
        <v>44789</v>
      </c>
      <c r="O81" s="467">
        <v>2500</v>
      </c>
      <c r="P81" s="10"/>
      <c r="Q81" s="454"/>
      <c r="R81" s="11"/>
      <c r="T81" s="11"/>
      <c r="U81" s="152"/>
      <c r="V81" s="62"/>
      <c r="W81" s="152"/>
      <c r="X81" s="62"/>
      <c r="Y81" s="152"/>
      <c r="AA81" s="456"/>
      <c r="AC81" s="456"/>
      <c r="AE81" s="456"/>
      <c r="AG81" s="456"/>
    </row>
    <row r="82" spans="1:33">
      <c r="A82" s="3">
        <v>7</v>
      </c>
      <c r="B82" s="147" t="s">
        <v>407</v>
      </c>
      <c r="C82" s="39">
        <v>44803</v>
      </c>
      <c r="D82" s="15" t="s">
        <v>408</v>
      </c>
      <c r="E82" s="3">
        <v>200</v>
      </c>
      <c r="G82" s="3">
        <v>26</v>
      </c>
      <c r="H82" s="3">
        <v>9675321848</v>
      </c>
      <c r="I82" s="52">
        <v>328000</v>
      </c>
      <c r="J82" s="488">
        <v>5000</v>
      </c>
      <c r="K82" s="54">
        <f>I82-J82-O82</f>
        <v>323000</v>
      </c>
      <c r="L82" s="525">
        <v>8000</v>
      </c>
      <c r="M82" s="3" t="s">
        <v>69</v>
      </c>
    </row>
    <row r="83" spans="1:33">
      <c r="A83" s="3">
        <v>3</v>
      </c>
      <c r="B83" s="615" t="s">
        <v>317</v>
      </c>
      <c r="C83" s="479">
        <v>44438</v>
      </c>
      <c r="D83" s="26" t="s">
        <v>409</v>
      </c>
      <c r="E83" s="9">
        <v>200</v>
      </c>
      <c r="F83" s="9">
        <v>58</v>
      </c>
      <c r="G83" s="9">
        <v>6</v>
      </c>
      <c r="H83" s="9"/>
      <c r="I83" s="20">
        <v>254720</v>
      </c>
      <c r="J83" s="616">
        <v>10000</v>
      </c>
      <c r="K83" s="29">
        <f>SUM(I83-J83-O83-Q83)</f>
        <v>234720</v>
      </c>
      <c r="L83" s="460" t="s">
        <v>15</v>
      </c>
      <c r="M83" s="3" t="s">
        <v>298</v>
      </c>
      <c r="N83" s="30">
        <v>44543</v>
      </c>
      <c r="O83" s="616">
        <v>10000</v>
      </c>
      <c r="P83" s="10"/>
      <c r="Q83" s="454"/>
      <c r="R83" s="11"/>
      <c r="T83" s="11"/>
      <c r="U83" s="152"/>
      <c r="V83" s="62"/>
      <c r="W83" s="152"/>
      <c r="X83" s="62"/>
      <c r="Y83" s="152"/>
      <c r="AA83" s="456"/>
      <c r="AC83" s="456"/>
      <c r="AE83" s="456"/>
      <c r="AG83" s="456"/>
    </row>
    <row r="84" spans="1:33">
      <c r="A84" s="3">
        <v>7</v>
      </c>
      <c r="B84" s="27" t="s">
        <v>20</v>
      </c>
      <c r="C84" s="479" t="s">
        <v>410</v>
      </c>
      <c r="D84" s="26" t="s">
        <v>411</v>
      </c>
      <c r="E84" s="9">
        <v>200</v>
      </c>
      <c r="F84" s="9">
        <v>2</v>
      </c>
      <c r="G84" s="9">
        <v>48</v>
      </c>
      <c r="H84" s="9"/>
      <c r="I84" s="20">
        <v>328000</v>
      </c>
      <c r="J84" s="459">
        <v>21766</v>
      </c>
      <c r="K84" s="29">
        <f>I84-J84-O84</f>
        <v>306234</v>
      </c>
      <c r="L84" s="460">
        <v>8000</v>
      </c>
      <c r="M84" s="3" t="s">
        <v>69</v>
      </c>
      <c r="N84" s="30"/>
      <c r="O84" s="467"/>
      <c r="P84" s="10"/>
      <c r="Q84" s="454"/>
      <c r="R84" s="11"/>
      <c r="T84" s="11"/>
      <c r="U84" s="152"/>
      <c r="V84" s="62"/>
      <c r="W84" s="152"/>
      <c r="X84" s="62"/>
      <c r="Y84" s="152"/>
      <c r="AA84" s="456"/>
      <c r="AC84" s="456"/>
      <c r="AE84" s="456"/>
      <c r="AG84" s="456"/>
    </row>
    <row r="85" spans="1:33">
      <c r="A85" s="3">
        <v>7</v>
      </c>
      <c r="B85" s="617" t="s">
        <v>152</v>
      </c>
      <c r="C85" s="479">
        <v>44460</v>
      </c>
      <c r="D85" s="26" t="s">
        <v>412</v>
      </c>
      <c r="E85" s="9">
        <v>200</v>
      </c>
      <c r="F85" s="9">
        <v>2</v>
      </c>
      <c r="G85" s="9">
        <v>57</v>
      </c>
      <c r="H85" s="9">
        <v>9363374882</v>
      </c>
      <c r="I85" s="20">
        <v>349200</v>
      </c>
      <c r="J85" s="507">
        <v>5000</v>
      </c>
      <c r="K85" s="29">
        <f>SUM(I85-J85-O85-Q85)</f>
        <v>344200</v>
      </c>
      <c r="L85" s="460" t="s">
        <v>310</v>
      </c>
      <c r="M85" s="3" t="s">
        <v>69</v>
      </c>
      <c r="N85" s="30"/>
      <c r="O85" s="467"/>
      <c r="P85" s="10"/>
      <c r="Q85" s="454"/>
      <c r="R85" s="11"/>
      <c r="T85" s="11"/>
      <c r="U85" s="152"/>
      <c r="V85" s="62"/>
      <c r="W85" s="152"/>
      <c r="X85" s="62"/>
      <c r="Y85" s="152"/>
      <c r="AA85" s="456"/>
      <c r="AC85" s="456"/>
      <c r="AE85" s="456"/>
      <c r="AG85" s="456"/>
    </row>
    <row r="86" spans="1:33">
      <c r="A86" s="3">
        <v>3</v>
      </c>
      <c r="B86" s="618" t="s">
        <v>330</v>
      </c>
      <c r="C86" s="495">
        <v>44707</v>
      </c>
      <c r="D86" s="524" t="s">
        <v>413</v>
      </c>
      <c r="E86" s="9">
        <v>200</v>
      </c>
      <c r="F86" s="517">
        <v>1</v>
      </c>
      <c r="G86" s="517">
        <v>31</v>
      </c>
      <c r="H86" s="9">
        <v>9127783451</v>
      </c>
      <c r="I86" s="52">
        <v>328000</v>
      </c>
      <c r="J86" s="578">
        <v>30000</v>
      </c>
      <c r="K86" s="29">
        <f>I86-J86-O86</f>
        <v>298000</v>
      </c>
      <c r="L86" s="55">
        <v>8000</v>
      </c>
      <c r="M86" s="3" t="s">
        <v>69</v>
      </c>
      <c r="N86" s="10"/>
      <c r="O86" s="454"/>
      <c r="P86" s="11"/>
      <c r="R86" s="11"/>
      <c r="S86" s="152"/>
      <c r="T86" s="62"/>
      <c r="U86" s="152"/>
      <c r="V86" s="62"/>
      <c r="W86" s="152"/>
      <c r="Y86" s="456"/>
      <c r="AA86" s="456"/>
      <c r="AC86" s="456"/>
      <c r="AE86" s="456"/>
    </row>
    <row r="87" spans="1:33">
      <c r="A87" s="3">
        <v>7</v>
      </c>
      <c r="B87" s="147" t="s">
        <v>20</v>
      </c>
      <c r="C87" s="39">
        <v>44803</v>
      </c>
      <c r="D87" s="15" t="s">
        <v>414</v>
      </c>
      <c r="E87" s="3">
        <v>200</v>
      </c>
      <c r="G87" s="3">
        <v>6</v>
      </c>
      <c r="I87" s="52">
        <v>328000</v>
      </c>
      <c r="J87" s="488">
        <v>5000</v>
      </c>
      <c r="K87" s="54">
        <f>I87-J87-O87</f>
        <v>323000</v>
      </c>
      <c r="L87" s="525">
        <v>8000</v>
      </c>
      <c r="M87" s="3" t="s">
        <v>69</v>
      </c>
    </row>
    <row r="88" spans="1:33">
      <c r="A88" s="3">
        <v>7</v>
      </c>
      <c r="B88" s="141" t="s">
        <v>404</v>
      </c>
      <c r="C88" s="39">
        <v>44469</v>
      </c>
      <c r="D88" s="524" t="s">
        <v>415</v>
      </c>
      <c r="E88" s="3">
        <v>200</v>
      </c>
      <c r="F88" s="3">
        <v>2</v>
      </c>
      <c r="G88" s="3">
        <v>56</v>
      </c>
      <c r="H88" s="3">
        <v>9653261115</v>
      </c>
      <c r="I88" s="619">
        <v>349200</v>
      </c>
      <c r="J88" s="620">
        <v>10000</v>
      </c>
      <c r="K88" s="621">
        <f>I88-J88-O88-S88-U88-W88</f>
        <v>319200</v>
      </c>
      <c r="N88" s="56">
        <v>44499</v>
      </c>
      <c r="O88" s="559">
        <v>5000</v>
      </c>
      <c r="P88" s="153" t="s">
        <v>26</v>
      </c>
      <c r="Q88" s="622">
        <v>500</v>
      </c>
      <c r="R88" s="56">
        <v>44534</v>
      </c>
      <c r="S88" s="559">
        <v>5000</v>
      </c>
      <c r="T88" s="56">
        <v>44575</v>
      </c>
      <c r="U88" s="590">
        <v>5000</v>
      </c>
      <c r="V88" s="56">
        <v>44642</v>
      </c>
      <c r="W88" s="590">
        <v>5000</v>
      </c>
    </row>
    <row r="89" spans="1:33">
      <c r="A89" s="3">
        <v>7</v>
      </c>
      <c r="B89" s="458" t="s">
        <v>416</v>
      </c>
      <c r="C89" s="166">
        <v>44578</v>
      </c>
      <c r="D89" s="496" t="s">
        <v>417</v>
      </c>
      <c r="E89" s="9" t="s">
        <v>321</v>
      </c>
      <c r="F89" s="9">
        <v>2</v>
      </c>
      <c r="G89" s="9">
        <v>55</v>
      </c>
      <c r="H89" s="9">
        <v>9636487597</v>
      </c>
      <c r="I89" s="20">
        <v>156400</v>
      </c>
      <c r="J89" s="459">
        <v>5000</v>
      </c>
      <c r="K89" s="29">
        <f>I89-J89-O89-Q89-S89</f>
        <v>138900</v>
      </c>
      <c r="L89" s="460">
        <v>13033</v>
      </c>
      <c r="M89" s="10" t="s">
        <v>358</v>
      </c>
      <c r="N89" s="30">
        <v>44615</v>
      </c>
      <c r="O89" s="459">
        <v>6250</v>
      </c>
      <c r="P89" s="10" t="s">
        <v>34</v>
      </c>
      <c r="Q89" s="459">
        <v>6250</v>
      </c>
      <c r="R89" s="916" t="s">
        <v>418</v>
      </c>
      <c r="S89" s="916"/>
      <c r="T89" s="916"/>
      <c r="U89" s="152"/>
      <c r="V89" s="62"/>
      <c r="W89" s="152"/>
      <c r="X89" s="62"/>
      <c r="Y89" s="152"/>
      <c r="AA89" s="456"/>
      <c r="AC89" s="456"/>
      <c r="AE89" s="456"/>
      <c r="AG89" s="456"/>
    </row>
    <row r="90" spans="1:33">
      <c r="A90" s="3">
        <v>7</v>
      </c>
      <c r="B90" s="623" t="s">
        <v>419</v>
      </c>
      <c r="C90" s="39">
        <v>44820</v>
      </c>
      <c r="D90" s="15" t="s">
        <v>420</v>
      </c>
      <c r="E90" s="3">
        <v>200</v>
      </c>
      <c r="F90" s="3">
        <v>1</v>
      </c>
      <c r="G90" s="3">
        <v>31</v>
      </c>
      <c r="H90" s="3">
        <v>9701910793</v>
      </c>
      <c r="I90" s="52">
        <v>276400</v>
      </c>
      <c r="J90" s="488" t="s">
        <v>15</v>
      </c>
      <c r="K90" s="54">
        <f>I90-O90-Q90-S90</f>
        <v>261400</v>
      </c>
      <c r="L90" s="624">
        <v>23033.32</v>
      </c>
      <c r="M90" s="3" t="s">
        <v>421</v>
      </c>
      <c r="N90" s="56">
        <v>44820</v>
      </c>
      <c r="O90" s="488">
        <v>5000</v>
      </c>
      <c r="P90" s="56">
        <v>44849</v>
      </c>
      <c r="Q90" s="488">
        <v>10000</v>
      </c>
    </row>
    <row r="91" spans="1:33">
      <c r="A91" s="3">
        <v>3</v>
      </c>
      <c r="B91" s="487" t="s">
        <v>330</v>
      </c>
      <c r="C91" s="39">
        <v>44679</v>
      </c>
      <c r="D91" s="15" t="s">
        <v>422</v>
      </c>
      <c r="E91" s="3">
        <v>200</v>
      </c>
      <c r="F91" s="3">
        <v>2</v>
      </c>
      <c r="G91" s="3">
        <v>52</v>
      </c>
      <c r="H91" s="3">
        <v>9750781254</v>
      </c>
      <c r="I91" s="52">
        <v>328000</v>
      </c>
      <c r="J91" s="518">
        <v>33000</v>
      </c>
      <c r="K91" s="54">
        <f>I91-J91-O91</f>
        <v>295000</v>
      </c>
      <c r="L91" s="525">
        <v>8000</v>
      </c>
      <c r="M91" s="3" t="s">
        <v>69</v>
      </c>
    </row>
    <row r="92" spans="1:33">
      <c r="A92" s="3">
        <v>7</v>
      </c>
      <c r="B92" s="31" t="s">
        <v>33</v>
      </c>
      <c r="C92" s="145">
        <v>44897</v>
      </c>
      <c r="D92" s="15" t="s">
        <v>423</v>
      </c>
      <c r="E92" s="3">
        <v>200</v>
      </c>
      <c r="F92" s="3">
        <v>2</v>
      </c>
      <c r="G92" s="3">
        <v>49</v>
      </c>
      <c r="H92" s="3">
        <v>9530921879</v>
      </c>
      <c r="I92" s="52">
        <v>349200</v>
      </c>
      <c r="J92" s="488" t="s">
        <v>15</v>
      </c>
      <c r="K92" s="54">
        <f>I92-O92-Q92</f>
        <v>329800</v>
      </c>
      <c r="L92" s="525">
        <v>9700</v>
      </c>
      <c r="M92" s="3" t="s">
        <v>306</v>
      </c>
      <c r="N92" s="39">
        <v>44897</v>
      </c>
      <c r="O92" s="472">
        <v>9700</v>
      </c>
      <c r="P92" s="56">
        <v>44958</v>
      </c>
      <c r="Q92" s="472">
        <v>9700</v>
      </c>
      <c r="R92" s="56">
        <v>45016</v>
      </c>
      <c r="S92" s="472">
        <v>9700</v>
      </c>
    </row>
    <row r="93" spans="1:33">
      <c r="A93" s="3">
        <v>7</v>
      </c>
      <c r="B93" s="506" t="s">
        <v>313</v>
      </c>
      <c r="C93" s="145">
        <v>45014</v>
      </c>
      <c r="D93" s="26" t="s">
        <v>424</v>
      </c>
      <c r="E93" s="9">
        <v>200</v>
      </c>
      <c r="F93" s="9">
        <v>2</v>
      </c>
      <c r="G93" s="9">
        <v>48</v>
      </c>
      <c r="H93" s="9">
        <v>9489004726</v>
      </c>
      <c r="I93" s="20">
        <v>492000</v>
      </c>
      <c r="J93" s="467">
        <v>10000</v>
      </c>
      <c r="K93" s="29">
        <f>I93-J93</f>
        <v>482000</v>
      </c>
      <c r="L93" s="460">
        <v>6834</v>
      </c>
      <c r="M93" s="10" t="s">
        <v>425</v>
      </c>
      <c r="N93" s="30"/>
      <c r="O93" s="467"/>
      <c r="P93" s="30"/>
      <c r="Q93" s="467"/>
      <c r="R93" s="37"/>
      <c r="S93" s="488"/>
      <c r="T93" s="11"/>
      <c r="U93" s="152"/>
      <c r="V93" s="62"/>
      <c r="W93" s="152"/>
      <c r="X93" s="62"/>
      <c r="Y93" s="152"/>
      <c r="AA93" s="456"/>
      <c r="AC93" s="456"/>
      <c r="AE93" s="456"/>
      <c r="AG93" s="456"/>
    </row>
    <row r="94" spans="1:33">
      <c r="A94" s="498">
        <v>7</v>
      </c>
      <c r="B94" s="183" t="s">
        <v>134</v>
      </c>
      <c r="C94" s="499">
        <v>44403</v>
      </c>
      <c r="D94" s="496" t="s">
        <v>426</v>
      </c>
      <c r="E94" s="9">
        <v>200</v>
      </c>
      <c r="F94" s="9">
        <v>2</v>
      </c>
      <c r="G94" s="9">
        <v>59</v>
      </c>
      <c r="H94" s="9">
        <v>9104687909</v>
      </c>
      <c r="I94" s="20">
        <v>299200</v>
      </c>
      <c r="J94" s="625">
        <v>20000</v>
      </c>
      <c r="K94" s="29">
        <f>SUM(I94-J94-O94-Q94-S94-U94-W94-Y94)</f>
        <v>219800</v>
      </c>
      <c r="L94" s="460">
        <v>10800</v>
      </c>
      <c r="M94" s="10" t="s">
        <v>53</v>
      </c>
      <c r="N94" s="30">
        <v>44433</v>
      </c>
      <c r="O94" s="625">
        <v>5500</v>
      </c>
      <c r="P94" s="30">
        <v>44496</v>
      </c>
      <c r="Q94" s="625">
        <v>10800</v>
      </c>
      <c r="R94" s="37">
        <v>44534</v>
      </c>
      <c r="S94" s="626">
        <v>5300</v>
      </c>
      <c r="T94" s="37">
        <v>44632</v>
      </c>
      <c r="U94" s="627">
        <v>16200</v>
      </c>
      <c r="V94" s="80">
        <v>44716</v>
      </c>
      <c r="W94" s="627">
        <v>16200</v>
      </c>
      <c r="X94" s="80">
        <v>44764</v>
      </c>
      <c r="Y94" s="627">
        <v>5400</v>
      </c>
      <c r="AA94" s="456"/>
      <c r="AC94" s="456"/>
      <c r="AE94" s="456"/>
      <c r="AG94" s="456"/>
    </row>
    <row r="95" spans="1:33" ht="14.25" customHeight="1">
      <c r="A95" s="628">
        <v>7</v>
      </c>
      <c r="B95" s="629" t="s">
        <v>313</v>
      </c>
      <c r="C95" s="16">
        <v>44910</v>
      </c>
      <c r="D95" s="26" t="s">
        <v>427</v>
      </c>
      <c r="E95" s="9">
        <v>200</v>
      </c>
      <c r="F95" s="9">
        <v>2</v>
      </c>
      <c r="G95" s="9">
        <v>43</v>
      </c>
      <c r="H95" s="9">
        <v>9350969763</v>
      </c>
      <c r="I95" s="20">
        <v>349200</v>
      </c>
      <c r="J95" s="467">
        <v>19400</v>
      </c>
      <c r="K95" s="29">
        <f>I95-J95</f>
        <v>329800</v>
      </c>
      <c r="L95" s="460">
        <v>9700</v>
      </c>
      <c r="M95" s="10" t="s">
        <v>428</v>
      </c>
      <c r="N95" s="30"/>
      <c r="O95" s="467"/>
      <c r="P95" s="10"/>
      <c r="Q95" s="467"/>
      <c r="R95" s="11"/>
      <c r="T95" s="11"/>
      <c r="U95" s="152"/>
      <c r="V95" s="62"/>
      <c r="W95" s="152"/>
      <c r="X95" s="62"/>
      <c r="Y95" s="152"/>
      <c r="AA95" s="456"/>
      <c r="AC95" s="456"/>
      <c r="AE95" s="456"/>
      <c r="AG95" s="456"/>
    </row>
  </sheetData>
  <mergeCells count="16">
    <mergeCell ref="AB73:AD73"/>
    <mergeCell ref="R89:T89"/>
    <mergeCell ref="A71:C71"/>
    <mergeCell ref="R72:S72"/>
    <mergeCell ref="V73:X73"/>
    <mergeCell ref="Y73:AA73"/>
    <mergeCell ref="P75:R75"/>
    <mergeCell ref="A77:C77"/>
    <mergeCell ref="P68:R68"/>
    <mergeCell ref="AX40:BB40"/>
    <mergeCell ref="R56:T56"/>
    <mergeCell ref="U56:W56"/>
    <mergeCell ref="P57:R57"/>
    <mergeCell ref="P67:R67"/>
    <mergeCell ref="N58:P58"/>
    <mergeCell ref="Z59:AB5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N35"/>
  <sheetViews>
    <sheetView topLeftCell="J1" zoomScale="89" zoomScaleNormal="89" workbookViewId="0">
      <selection activeCell="J6" sqref="J6"/>
    </sheetView>
  </sheetViews>
  <sheetFormatPr defaultColWidth="9" defaultRowHeight="15"/>
  <cols>
    <col min="1" max="1" width="2.7109375" style="19" customWidth="1"/>
    <col min="2" max="2" width="17.28515625" style="19" customWidth="1"/>
    <col min="3" max="3" width="12" customWidth="1"/>
    <col min="4" max="4" width="31.28515625" customWidth="1"/>
    <col min="5" max="5" width="7.42578125" style="19" customWidth="1"/>
    <col min="6" max="6" width="5.140625" style="19" customWidth="1"/>
    <col min="7" max="7" width="13.7109375" customWidth="1"/>
    <col min="8" max="8" width="11.28515625" customWidth="1"/>
    <col min="9" max="9" width="9" style="427"/>
    <col min="10" max="10" width="10.7109375" style="428" customWidth="1"/>
    <col min="11" max="11" width="9" style="645"/>
    <col min="12" max="12" width="9" style="19"/>
    <col min="13" max="13" width="12.28515625" customWidth="1"/>
    <col min="14" max="14" width="9" style="201"/>
    <col min="15" max="15" width="11.85546875" customWidth="1"/>
    <col min="16" max="16" width="9" style="201"/>
    <col min="17" max="17" width="11.5703125" customWidth="1"/>
    <col min="18" max="18" width="9" style="201"/>
    <col min="19" max="19" width="12.42578125" customWidth="1"/>
    <col min="21" max="21" width="11.7109375" customWidth="1"/>
    <col min="23" max="23" width="13" customWidth="1"/>
    <col min="25" max="25" width="14.42578125" customWidth="1"/>
    <col min="27" max="27" width="11.28515625" customWidth="1"/>
    <col min="29" max="29" width="10.85546875" customWidth="1"/>
    <col min="31" max="31" width="10.5703125" customWidth="1"/>
    <col min="33" max="33" width="12.140625" customWidth="1"/>
    <col min="35" max="35" width="11" customWidth="1"/>
    <col min="37" max="37" width="12.28515625" customWidth="1"/>
    <col min="39" max="39" width="10.7109375" customWidth="1"/>
    <col min="41" max="41" width="11" customWidth="1"/>
    <col min="43" max="43" width="11" customWidth="1"/>
    <col min="45" max="45" width="10.85546875" customWidth="1"/>
    <col min="47" max="47" width="10.85546875" customWidth="1"/>
    <col min="49" max="49" width="10.85546875" customWidth="1"/>
    <col min="51" max="51" width="11" customWidth="1"/>
    <col min="53" max="53" width="11.140625" customWidth="1"/>
    <col min="55" max="55" width="11.42578125" customWidth="1"/>
    <col min="57" max="57" width="12.140625" customWidth="1"/>
    <col min="59" max="59" width="10.85546875" customWidth="1"/>
    <col min="61" max="61" width="11.7109375" customWidth="1"/>
    <col min="63" max="63" width="11.7109375" customWidth="1"/>
    <col min="65" max="65" width="10.85546875" customWidth="1"/>
    <col min="67" max="67" width="11.5703125" customWidth="1"/>
    <col min="69" max="69" width="11.140625" customWidth="1"/>
    <col min="71" max="71" width="12" customWidth="1"/>
    <col min="73" max="73" width="10.85546875" customWidth="1"/>
    <col min="75" max="75" width="10.7109375" customWidth="1"/>
    <col min="77" max="77" width="10.7109375" customWidth="1"/>
    <col min="79" max="79" width="10.85546875" customWidth="1"/>
    <col min="81" max="81" width="10.85546875" customWidth="1"/>
    <col min="83" max="83" width="12.28515625" customWidth="1"/>
    <col min="85" max="85" width="10.85546875" customWidth="1"/>
    <col min="87" max="87" width="10.85546875" customWidth="1"/>
    <col min="91" max="91" width="11" customWidth="1"/>
    <col min="93" max="93" width="10.85546875" customWidth="1"/>
    <col min="97" max="97" width="10.7109375" customWidth="1"/>
    <col min="99" max="99" width="10.42578125" customWidth="1"/>
    <col min="101" max="101" width="10.7109375" customWidth="1"/>
    <col min="105" max="105" width="10.7109375" customWidth="1"/>
    <col min="107" max="107" width="10.85546875" customWidth="1"/>
    <col min="109" max="109" width="10.42578125" customWidth="1"/>
    <col min="111" max="111" width="11" customWidth="1"/>
    <col min="113" max="113" width="11.28515625" customWidth="1"/>
  </cols>
  <sheetData>
    <row r="1" spans="1:118">
      <c r="A1" s="19" t="s">
        <v>2</v>
      </c>
      <c r="B1" s="189" t="s">
        <v>4</v>
      </c>
      <c r="C1" s="189" t="s">
        <v>0</v>
      </c>
      <c r="D1" s="190" t="s">
        <v>1</v>
      </c>
      <c r="E1" s="189" t="s">
        <v>3</v>
      </c>
      <c r="F1" s="189" t="s">
        <v>6</v>
      </c>
      <c r="G1" s="189" t="s">
        <v>7</v>
      </c>
      <c r="H1" s="191" t="s">
        <v>8</v>
      </c>
      <c r="I1" s="192" t="s">
        <v>9</v>
      </c>
      <c r="J1" s="193" t="s">
        <v>10</v>
      </c>
      <c r="K1" s="630" t="s">
        <v>430</v>
      </c>
      <c r="L1" s="191" t="s">
        <v>12</v>
      </c>
      <c r="M1" s="191"/>
      <c r="N1" s="631"/>
      <c r="O1" s="196"/>
      <c r="P1" s="631"/>
      <c r="Q1" s="197"/>
      <c r="R1" s="211"/>
      <c r="S1" s="197"/>
      <c r="T1" s="199"/>
      <c r="U1" s="200"/>
      <c r="V1" s="199"/>
      <c r="W1" s="200"/>
      <c r="X1" s="199"/>
      <c r="Z1" s="201"/>
      <c r="AB1" s="201"/>
      <c r="AD1" s="201"/>
      <c r="AF1" s="201"/>
    </row>
    <row r="2" spans="1:118">
      <c r="A2" s="19">
        <v>7</v>
      </c>
      <c r="B2" s="315" t="s">
        <v>313</v>
      </c>
      <c r="C2" s="565">
        <v>44627</v>
      </c>
      <c r="D2" s="332" t="s">
        <v>431</v>
      </c>
      <c r="E2" s="275">
        <v>300</v>
      </c>
      <c r="F2" s="275">
        <v>25</v>
      </c>
      <c r="G2" s="275">
        <v>9355653275</v>
      </c>
      <c r="H2" s="276">
        <v>464180</v>
      </c>
      <c r="I2" s="632" t="s">
        <v>15</v>
      </c>
      <c r="J2" s="278">
        <f>H2-N2-P2-R2-T2-V2-X2-Z2</f>
        <v>0</v>
      </c>
      <c r="K2" s="633">
        <v>12015</v>
      </c>
      <c r="L2" s="196" t="s">
        <v>421</v>
      </c>
      <c r="M2" s="231">
        <v>44627</v>
      </c>
      <c r="N2" s="634">
        <v>22300</v>
      </c>
      <c r="O2" s="231">
        <v>44660</v>
      </c>
      <c r="P2" s="634">
        <v>22300</v>
      </c>
      <c r="Q2" s="209">
        <v>44700</v>
      </c>
      <c r="R2" s="635">
        <v>5000</v>
      </c>
      <c r="S2" s="209">
        <v>44732</v>
      </c>
      <c r="T2" s="636">
        <v>300000</v>
      </c>
      <c r="U2" s="242">
        <v>44848</v>
      </c>
      <c r="V2" s="636">
        <v>15000</v>
      </c>
      <c r="W2" s="200" t="s">
        <v>432</v>
      </c>
      <c r="X2" s="637">
        <v>40000</v>
      </c>
      <c r="Y2" s="244">
        <v>45008</v>
      </c>
      <c r="Z2" s="637">
        <v>59580</v>
      </c>
      <c r="AA2" s="638" t="s">
        <v>17</v>
      </c>
      <c r="AB2" s="639">
        <v>2000</v>
      </c>
      <c r="AC2" t="s">
        <v>433</v>
      </c>
      <c r="AD2" s="243">
        <v>1000</v>
      </c>
      <c r="AF2" s="201"/>
    </row>
    <row r="3" spans="1:118">
      <c r="B3" s="262" t="s">
        <v>434</v>
      </c>
      <c r="C3" s="203">
        <v>44953</v>
      </c>
      <c r="D3" s="640" t="s">
        <v>435</v>
      </c>
      <c r="E3" s="275">
        <v>281</v>
      </c>
      <c r="F3" s="275">
        <v>32</v>
      </c>
      <c r="G3" s="275">
        <v>9300641216</v>
      </c>
      <c r="H3" s="276">
        <v>501304</v>
      </c>
      <c r="I3" s="632">
        <v>10000</v>
      </c>
      <c r="J3" s="278">
        <f>H3-I3-N3-P3</f>
        <v>461304</v>
      </c>
      <c r="K3" s="633"/>
      <c r="L3" s="196" t="s">
        <v>53</v>
      </c>
      <c r="M3" s="231">
        <v>45300</v>
      </c>
      <c r="N3" s="276">
        <v>10000</v>
      </c>
      <c r="O3" s="231">
        <v>45981</v>
      </c>
      <c r="P3" s="276">
        <v>20000</v>
      </c>
      <c r="Q3" s="209"/>
      <c r="R3" s="567"/>
      <c r="S3" s="209"/>
      <c r="T3" s="412"/>
      <c r="U3" s="242"/>
      <c r="V3" s="412"/>
      <c r="W3" s="200"/>
      <c r="X3" s="241"/>
      <c r="Z3" s="201"/>
      <c r="AB3" s="201"/>
      <c r="AD3" s="201"/>
      <c r="AF3" s="201"/>
    </row>
    <row r="4" spans="1:118">
      <c r="A4" s="19">
        <v>7</v>
      </c>
      <c r="B4" s="641" t="s">
        <v>300</v>
      </c>
      <c r="C4" s="203">
        <v>45418</v>
      </c>
      <c r="D4" s="640" t="s">
        <v>436</v>
      </c>
      <c r="E4" s="275">
        <v>200</v>
      </c>
      <c r="F4" s="275">
        <v>35</v>
      </c>
      <c r="G4" s="275">
        <v>9919345691</v>
      </c>
      <c r="H4" s="276">
        <v>528000</v>
      </c>
      <c r="I4" s="642">
        <v>30000</v>
      </c>
      <c r="J4" s="278">
        <f>H4-I4-N4-P4-R4-T4-V4-X4-Z4</f>
        <v>465000</v>
      </c>
      <c r="K4" s="633">
        <v>6777.75</v>
      </c>
      <c r="L4" s="196" t="s">
        <v>175</v>
      </c>
      <c r="M4" s="231">
        <v>45475</v>
      </c>
      <c r="N4" s="643">
        <v>4000</v>
      </c>
      <c r="O4" s="231">
        <v>45584</v>
      </c>
      <c r="P4" s="643">
        <v>6000</v>
      </c>
      <c r="Q4" s="209">
        <v>45759</v>
      </c>
      <c r="R4" s="754">
        <v>5000</v>
      </c>
      <c r="S4" s="209">
        <v>45878</v>
      </c>
      <c r="T4" s="800">
        <v>4000</v>
      </c>
      <c r="U4" s="242">
        <v>46006</v>
      </c>
      <c r="V4" s="800">
        <v>5000</v>
      </c>
      <c r="W4" s="242">
        <v>46118</v>
      </c>
      <c r="X4" s="339">
        <v>4000</v>
      </c>
      <c r="Y4" s="244">
        <v>46217</v>
      </c>
      <c r="Z4" s="243">
        <v>5000</v>
      </c>
      <c r="AB4" s="201"/>
      <c r="AD4" s="201"/>
      <c r="AF4" s="201"/>
    </row>
    <row r="5" spans="1:118">
      <c r="A5" s="19">
        <v>7</v>
      </c>
      <c r="B5" s="564" t="s">
        <v>661</v>
      </c>
      <c r="C5" s="644" t="s">
        <v>437</v>
      </c>
      <c r="D5" s="343" t="s">
        <v>438</v>
      </c>
      <c r="E5" s="19">
        <v>300</v>
      </c>
      <c r="F5" s="19">
        <v>17</v>
      </c>
      <c r="G5" s="275">
        <v>9946963558</v>
      </c>
      <c r="H5" s="205">
        <v>621600</v>
      </c>
      <c r="I5" s="380">
        <v>68204</v>
      </c>
      <c r="J5" s="207">
        <f>H5-I5-N5-P5-R5-T5-V5-X5-Z5-AB5</f>
        <v>430396</v>
      </c>
      <c r="L5" s="262" t="s">
        <v>296</v>
      </c>
      <c r="M5" s="764">
        <v>45779</v>
      </c>
      <c r="N5" s="657">
        <v>27000</v>
      </c>
      <c r="O5" s="764">
        <v>45841</v>
      </c>
      <c r="P5" s="657">
        <v>14000</v>
      </c>
      <c r="Q5" s="764">
        <v>45964</v>
      </c>
      <c r="R5" s="657">
        <v>13000</v>
      </c>
      <c r="S5" s="764">
        <v>45964</v>
      </c>
      <c r="T5" s="573">
        <v>2000</v>
      </c>
      <c r="U5" s="764">
        <v>46065</v>
      </c>
      <c r="V5" s="573">
        <v>15000</v>
      </c>
      <c r="W5" s="764">
        <v>46129</v>
      </c>
      <c r="X5" s="573">
        <v>21000</v>
      </c>
      <c r="Y5" s="764">
        <v>46224</v>
      </c>
      <c r="Z5" s="318">
        <v>21000</v>
      </c>
      <c r="AA5" s="244">
        <v>46258</v>
      </c>
      <c r="AB5" s="318">
        <v>10000</v>
      </c>
    </row>
    <row r="6" spans="1:118">
      <c r="C6" s="203">
        <v>44953</v>
      </c>
      <c r="D6" s="640" t="s">
        <v>439</v>
      </c>
      <c r="E6" s="275">
        <v>300</v>
      </c>
      <c r="F6" s="275">
        <v>30</v>
      </c>
      <c r="G6" s="275">
        <v>9369019267</v>
      </c>
      <c r="H6" s="276">
        <v>535200</v>
      </c>
      <c r="I6" s="632">
        <v>10000</v>
      </c>
      <c r="J6" s="278">
        <f>H6-I6-N6-P6-R6-T6-V6-X6-Z6</f>
        <v>371200</v>
      </c>
      <c r="K6" s="633"/>
      <c r="L6" s="196" t="s">
        <v>53</v>
      </c>
      <c r="M6" s="231">
        <v>44987</v>
      </c>
      <c r="N6" s="646">
        <v>10000</v>
      </c>
      <c r="O6" s="231">
        <v>45050</v>
      </c>
      <c r="P6" s="646">
        <v>20000</v>
      </c>
      <c r="Q6" s="209">
        <v>45086</v>
      </c>
      <c r="R6" s="647">
        <v>40000</v>
      </c>
      <c r="S6" s="209">
        <v>45351</v>
      </c>
      <c r="T6" s="241">
        <v>21000</v>
      </c>
      <c r="U6" s="242">
        <v>45755</v>
      </c>
      <c r="V6" s="241">
        <v>30000</v>
      </c>
      <c r="W6" s="242">
        <v>46006</v>
      </c>
      <c r="X6" s="241">
        <v>23000</v>
      </c>
      <c r="Y6" s="244">
        <v>46162</v>
      </c>
      <c r="Z6" s="243">
        <v>10000</v>
      </c>
      <c r="AB6" s="201"/>
      <c r="AD6" s="201"/>
      <c r="AF6" s="201"/>
    </row>
    <row r="7" spans="1:118">
      <c r="A7" s="19">
        <v>7</v>
      </c>
      <c r="C7" s="565">
        <v>44712</v>
      </c>
      <c r="D7" s="640" t="s">
        <v>440</v>
      </c>
      <c r="E7" s="275">
        <v>300</v>
      </c>
      <c r="F7" s="275">
        <v>22</v>
      </c>
      <c r="G7" s="275">
        <v>9635650513</v>
      </c>
      <c r="H7" s="276">
        <v>578400</v>
      </c>
      <c r="I7" s="632" t="s">
        <v>15</v>
      </c>
      <c r="J7" s="278">
        <f>H7-N7-P7</f>
        <v>563400</v>
      </c>
      <c r="K7" s="633">
        <v>15049</v>
      </c>
      <c r="L7" s="196" t="s">
        <v>441</v>
      </c>
      <c r="M7" s="231">
        <v>44712</v>
      </c>
      <c r="N7" s="646">
        <v>5000</v>
      </c>
      <c r="O7" s="231" t="s">
        <v>442</v>
      </c>
      <c r="P7" s="646">
        <v>10000</v>
      </c>
      <c r="Q7" s="209"/>
      <c r="R7" s="647"/>
      <c r="S7" s="197"/>
      <c r="T7" s="199"/>
      <c r="U7" s="200"/>
      <c r="V7" s="199"/>
      <c r="W7" s="200"/>
      <c r="X7" s="199"/>
      <c r="Z7" s="201"/>
      <c r="AB7" s="201"/>
      <c r="AD7" s="201"/>
      <c r="AF7" s="201"/>
    </row>
    <row r="8" spans="1:118">
      <c r="A8" s="19">
        <v>7</v>
      </c>
      <c r="B8" s="418" t="s">
        <v>443</v>
      </c>
      <c r="C8" s="19" t="s">
        <v>444</v>
      </c>
      <c r="D8" t="s">
        <v>445</v>
      </c>
      <c r="E8" s="19">
        <v>300</v>
      </c>
      <c r="F8" s="19">
        <v>8</v>
      </c>
      <c r="G8">
        <v>9206337719</v>
      </c>
      <c r="H8" s="648">
        <v>592600</v>
      </c>
      <c r="I8" s="419">
        <v>20000</v>
      </c>
      <c r="J8" s="278">
        <f>SUM(H8-I8-N8-P8-R8-T8-V8-X8-Z8-AB8-AD8-AF8-AH8-AJ8-AL8-AN8)</f>
        <v>0</v>
      </c>
      <c r="K8" s="649">
        <v>19800</v>
      </c>
      <c r="L8" s="19" t="s">
        <v>296</v>
      </c>
      <c r="M8" t="s">
        <v>446</v>
      </c>
      <c r="N8" s="650">
        <v>5000</v>
      </c>
      <c r="O8" s="651">
        <v>45316</v>
      </c>
      <c r="P8" s="650">
        <v>45000</v>
      </c>
      <c r="Q8" s="651">
        <v>45336</v>
      </c>
      <c r="R8" s="650">
        <v>50000</v>
      </c>
      <c r="S8" s="651">
        <v>45373</v>
      </c>
      <c r="T8" s="652">
        <v>30000</v>
      </c>
      <c r="U8" s="651">
        <v>45420</v>
      </c>
      <c r="V8" s="652">
        <v>45000</v>
      </c>
      <c r="W8" s="651">
        <v>45470</v>
      </c>
      <c r="X8" s="652">
        <v>30000</v>
      </c>
      <c r="Y8" s="651">
        <v>45526</v>
      </c>
      <c r="Z8" s="652">
        <v>20000</v>
      </c>
      <c r="AA8" s="651">
        <v>45576</v>
      </c>
      <c r="AB8" s="652">
        <v>30000</v>
      </c>
      <c r="AC8" s="651">
        <v>45611</v>
      </c>
      <c r="AD8" s="652">
        <v>30000</v>
      </c>
      <c r="AE8" s="651">
        <v>45668</v>
      </c>
      <c r="AF8" s="652">
        <v>60000</v>
      </c>
      <c r="AG8" s="651">
        <v>45729</v>
      </c>
      <c r="AH8" s="652">
        <v>60000</v>
      </c>
      <c r="AI8" s="651">
        <v>45791</v>
      </c>
      <c r="AJ8" s="652">
        <v>60000</v>
      </c>
      <c r="AK8" s="244">
        <v>45863</v>
      </c>
      <c r="AL8" s="652">
        <v>40000</v>
      </c>
      <c r="AM8" s="803">
        <v>45876</v>
      </c>
      <c r="AN8" s="652">
        <v>67600</v>
      </c>
      <c r="AO8" s="228" t="s">
        <v>17</v>
      </c>
      <c r="AP8" s="321">
        <v>2250</v>
      </c>
    </row>
    <row r="9" spans="1:118">
      <c r="A9" s="19">
        <v>7</v>
      </c>
      <c r="B9" s="653" t="s">
        <v>447</v>
      </c>
      <c r="C9" s="234">
        <v>44482</v>
      </c>
      <c r="D9" s="239" t="s">
        <v>448</v>
      </c>
      <c r="E9" s="19">
        <v>300</v>
      </c>
      <c r="F9" s="19">
        <v>27</v>
      </c>
      <c r="G9">
        <v>9971764545</v>
      </c>
      <c r="H9" s="205">
        <v>578400</v>
      </c>
      <c r="I9" s="654" t="s">
        <v>15</v>
      </c>
      <c r="J9" s="278">
        <f>H9-N9-P9-R9-T9-V9-X9-Z9-AB9-AD9-AF9-AH9-AJ9-AL9-AN9-AP9-AR9-AT9-AV9-AX9-AZ9-BB9-BD9-BF9-BH9-BJ9-BL9-BN9-BP9-BR9-BT9-BV9-BX9-BZ9-CB9-CD9</f>
        <v>0</v>
      </c>
      <c r="K9" s="649">
        <v>16067</v>
      </c>
      <c r="L9" s="19" t="s">
        <v>69</v>
      </c>
      <c r="M9" s="244">
        <v>44482</v>
      </c>
      <c r="N9" s="655">
        <v>16067</v>
      </c>
      <c r="O9" s="244">
        <v>44503</v>
      </c>
      <c r="P9" s="655">
        <v>16067</v>
      </c>
      <c r="Q9" s="244">
        <v>44552</v>
      </c>
      <c r="R9" s="655">
        <v>16067</v>
      </c>
      <c r="S9" s="244">
        <v>44607</v>
      </c>
      <c r="T9" s="655">
        <v>32134</v>
      </c>
      <c r="U9" s="244">
        <v>44680</v>
      </c>
      <c r="V9" s="656">
        <v>16067</v>
      </c>
      <c r="W9" s="244">
        <v>44700</v>
      </c>
      <c r="X9" s="656">
        <v>16067</v>
      </c>
      <c r="Y9" s="244">
        <v>44742</v>
      </c>
      <c r="Z9" s="656">
        <v>16067</v>
      </c>
      <c r="AA9" s="244">
        <v>44783</v>
      </c>
      <c r="AB9" s="656">
        <v>16067</v>
      </c>
      <c r="AC9" s="244">
        <v>44813</v>
      </c>
      <c r="AD9" s="656">
        <v>16067</v>
      </c>
      <c r="AE9" s="244">
        <v>44832</v>
      </c>
      <c r="AF9" s="656">
        <v>16067</v>
      </c>
      <c r="AG9" s="244">
        <v>44859</v>
      </c>
      <c r="AH9" s="656">
        <v>16067</v>
      </c>
      <c r="AI9" s="244">
        <v>44876</v>
      </c>
      <c r="AJ9" s="656">
        <v>16067</v>
      </c>
      <c r="AK9" s="244">
        <v>44922</v>
      </c>
      <c r="AL9" s="656">
        <v>16067</v>
      </c>
      <c r="AM9" s="244">
        <v>44952</v>
      </c>
      <c r="AN9" s="656">
        <v>16067</v>
      </c>
      <c r="AO9" s="244">
        <v>44992</v>
      </c>
      <c r="AP9" s="656">
        <v>16067</v>
      </c>
      <c r="AQ9" s="244">
        <v>45001</v>
      </c>
      <c r="AR9" s="656">
        <v>16067</v>
      </c>
      <c r="AS9" s="244">
        <v>45028</v>
      </c>
      <c r="AT9" s="656">
        <v>16067</v>
      </c>
      <c r="AU9" s="244">
        <v>45056</v>
      </c>
      <c r="AV9" s="656">
        <v>16067</v>
      </c>
      <c r="AW9" s="244">
        <v>45093</v>
      </c>
      <c r="AX9" s="656">
        <v>16067</v>
      </c>
      <c r="AY9" s="244">
        <v>45163</v>
      </c>
      <c r="AZ9" s="656">
        <v>16067</v>
      </c>
      <c r="BA9" s="244">
        <v>45163</v>
      </c>
      <c r="BB9" s="656">
        <v>16067</v>
      </c>
      <c r="BC9" s="244">
        <v>45183</v>
      </c>
      <c r="BD9" s="656">
        <v>16067</v>
      </c>
      <c r="BE9" s="244">
        <v>45204</v>
      </c>
      <c r="BF9" s="656">
        <v>16067</v>
      </c>
      <c r="BG9" s="244">
        <v>45253</v>
      </c>
      <c r="BH9" s="656">
        <v>16067</v>
      </c>
      <c r="BI9" s="244">
        <v>45296</v>
      </c>
      <c r="BJ9" s="656">
        <v>16067</v>
      </c>
      <c r="BK9" s="244">
        <v>45321</v>
      </c>
      <c r="BL9" s="656">
        <v>16067</v>
      </c>
      <c r="BM9" s="244">
        <v>45411</v>
      </c>
      <c r="BN9" s="656">
        <v>16067</v>
      </c>
      <c r="BO9" s="244">
        <v>45492</v>
      </c>
      <c r="BP9" s="656">
        <v>16067</v>
      </c>
      <c r="BQ9" s="244">
        <v>45505</v>
      </c>
      <c r="BR9" s="656">
        <v>16067</v>
      </c>
      <c r="BS9" s="244">
        <v>45565</v>
      </c>
      <c r="BT9" s="656">
        <v>16067</v>
      </c>
      <c r="BU9" s="244">
        <v>45574</v>
      </c>
      <c r="BV9" s="656">
        <v>16067</v>
      </c>
      <c r="BW9" s="244">
        <v>45608</v>
      </c>
      <c r="BX9" s="656">
        <v>16067</v>
      </c>
      <c r="BY9" s="244">
        <v>45646</v>
      </c>
      <c r="BZ9" s="656">
        <v>16067</v>
      </c>
      <c r="CA9" s="244">
        <v>45675</v>
      </c>
      <c r="CB9" s="656">
        <v>16067</v>
      </c>
      <c r="CC9" s="244">
        <v>45709</v>
      </c>
      <c r="CD9" s="656">
        <v>16055</v>
      </c>
      <c r="CE9" s="256" t="s">
        <v>17</v>
      </c>
      <c r="CF9" s="321">
        <v>6000</v>
      </c>
    </row>
    <row r="10" spans="1:118">
      <c r="A10" s="19">
        <v>7</v>
      </c>
      <c r="B10" s="258" t="s">
        <v>20</v>
      </c>
      <c r="C10" s="234">
        <v>44727</v>
      </c>
      <c r="D10" s="327" t="s">
        <v>449</v>
      </c>
      <c r="E10" s="19">
        <v>300</v>
      </c>
      <c r="F10" s="19">
        <v>13</v>
      </c>
      <c r="G10" s="275">
        <v>9553153471</v>
      </c>
      <c r="H10" s="205">
        <v>400000</v>
      </c>
      <c r="I10" s="259">
        <v>150000</v>
      </c>
      <c r="J10" s="278">
        <f>H10-I10-N10-P10</f>
        <v>0</v>
      </c>
      <c r="K10" s="649" t="s">
        <v>15</v>
      </c>
      <c r="L10" s="19" t="s">
        <v>16</v>
      </c>
      <c r="M10" s="244">
        <v>44757</v>
      </c>
      <c r="N10" s="657">
        <v>150000</v>
      </c>
      <c r="O10" s="335">
        <v>44827</v>
      </c>
      <c r="P10" s="657">
        <v>100000</v>
      </c>
      <c r="Q10" s="283" t="s">
        <v>17</v>
      </c>
      <c r="R10" s="326">
        <v>3000</v>
      </c>
      <c r="S10" s="244"/>
      <c r="T10" s="243"/>
      <c r="U10" s="244"/>
      <c r="V10" s="243"/>
      <c r="W10" s="244"/>
      <c r="X10" s="318"/>
      <c r="Y10" s="244"/>
      <c r="Z10" s="318"/>
    </row>
    <row r="11" spans="1:118">
      <c r="A11" s="19">
        <v>7</v>
      </c>
      <c r="B11" s="658" t="s">
        <v>236</v>
      </c>
      <c r="C11" s="203">
        <v>44424</v>
      </c>
      <c r="D11" s="640" t="s">
        <v>366</v>
      </c>
      <c r="E11" s="275">
        <v>300</v>
      </c>
      <c r="F11" s="275">
        <v>5</v>
      </c>
      <c r="G11" s="275">
        <v>9215291797</v>
      </c>
      <c r="H11" s="276">
        <v>535200</v>
      </c>
      <c r="I11" s="659">
        <v>20000</v>
      </c>
      <c r="J11" s="278">
        <f>SUM(H11-I11-N11-P11-R11-T11-V11)</f>
        <v>0</v>
      </c>
      <c r="K11" s="645" t="s">
        <v>15</v>
      </c>
      <c r="L11" s="19" t="s">
        <v>53</v>
      </c>
      <c r="M11" s="231">
        <v>44382</v>
      </c>
      <c r="N11" s="660">
        <v>10000</v>
      </c>
      <c r="O11" s="231">
        <v>44546</v>
      </c>
      <c r="P11" s="660">
        <v>20000</v>
      </c>
      <c r="Q11" s="209">
        <v>45001</v>
      </c>
      <c r="R11" s="661">
        <v>150000</v>
      </c>
      <c r="S11" s="209">
        <v>45226</v>
      </c>
      <c r="T11" s="662">
        <v>100000</v>
      </c>
      <c r="U11" s="242">
        <v>45258</v>
      </c>
      <c r="V11" s="662">
        <v>235200</v>
      </c>
      <c r="W11" s="200"/>
      <c r="X11" s="199"/>
      <c r="Z11" s="201"/>
      <c r="AB11" s="201"/>
      <c r="AD11" s="201"/>
      <c r="AF11" s="201"/>
    </row>
    <row r="12" spans="1:118">
      <c r="A12" s="19">
        <v>7</v>
      </c>
      <c r="B12" s="663" t="s">
        <v>401</v>
      </c>
      <c r="C12" s="203">
        <v>44778</v>
      </c>
      <c r="D12" s="640" t="s">
        <v>450</v>
      </c>
      <c r="E12" s="275">
        <v>300</v>
      </c>
      <c r="F12" s="275">
        <v>20</v>
      </c>
      <c r="G12" s="275">
        <v>9661566648</v>
      </c>
      <c r="H12" s="276">
        <v>578400</v>
      </c>
      <c r="I12" s="664">
        <v>20000</v>
      </c>
      <c r="J12" s="207">
        <f>H12-I12-N12-P12-R12-T12-V12-X12-Z12-AB12-AD12-AF12-AH12-AJ12-AL12-AN12-AP12-AR12-AT12-AV12-AZ12</f>
        <v>255400</v>
      </c>
      <c r="K12" s="649">
        <v>14400</v>
      </c>
      <c r="L12" s="19" t="s">
        <v>69</v>
      </c>
      <c r="M12" s="231">
        <v>44806</v>
      </c>
      <c r="N12" s="665">
        <v>40000</v>
      </c>
      <c r="O12" s="231">
        <v>44841</v>
      </c>
      <c r="P12" s="666">
        <v>15000</v>
      </c>
      <c r="Q12" s="209">
        <v>44876</v>
      </c>
      <c r="R12" s="667">
        <v>15000</v>
      </c>
      <c r="S12" s="209">
        <v>44900</v>
      </c>
      <c r="T12" s="346">
        <v>15000</v>
      </c>
      <c r="U12" s="242">
        <v>44929</v>
      </c>
      <c r="V12" s="346">
        <v>15000</v>
      </c>
      <c r="W12" s="242">
        <v>44964</v>
      </c>
      <c r="X12" s="346">
        <v>15000</v>
      </c>
      <c r="Y12" s="244">
        <v>44991</v>
      </c>
      <c r="Z12" s="312">
        <v>15000</v>
      </c>
      <c r="AA12" s="244">
        <v>45015</v>
      </c>
      <c r="AB12" s="668">
        <v>15000</v>
      </c>
      <c r="AC12" s="244">
        <v>45040</v>
      </c>
      <c r="AD12" s="312">
        <v>15000</v>
      </c>
      <c r="AE12" s="244">
        <v>45098</v>
      </c>
      <c r="AF12" s="312">
        <v>15000</v>
      </c>
      <c r="AG12" s="244">
        <v>45245</v>
      </c>
      <c r="AH12" s="313">
        <v>14000</v>
      </c>
      <c r="AI12" s="244">
        <v>45294</v>
      </c>
      <c r="AJ12" s="313">
        <v>15000</v>
      </c>
      <c r="AK12" s="244">
        <v>45422</v>
      </c>
      <c r="AL12" s="313">
        <v>15000</v>
      </c>
      <c r="AM12" s="244">
        <v>45451</v>
      </c>
      <c r="AN12" s="313">
        <v>10000</v>
      </c>
      <c r="AO12" s="244">
        <v>45516</v>
      </c>
      <c r="AP12" s="313">
        <v>14000</v>
      </c>
      <c r="AQ12" s="244">
        <v>45757</v>
      </c>
      <c r="AR12" s="313">
        <v>15000</v>
      </c>
      <c r="AS12" s="244">
        <v>45786</v>
      </c>
      <c r="AT12" s="313">
        <v>15000</v>
      </c>
      <c r="AU12" s="244">
        <v>45846</v>
      </c>
      <c r="AV12" s="780">
        <v>15000</v>
      </c>
      <c r="AW12" s="228" t="s">
        <v>26</v>
      </c>
      <c r="AX12" s="228">
        <v>600</v>
      </c>
      <c r="AY12" s="244">
        <v>45874</v>
      </c>
      <c r="AZ12" s="780">
        <v>15000</v>
      </c>
    </row>
    <row r="13" spans="1:118">
      <c r="A13" s="19">
        <v>7</v>
      </c>
      <c r="B13" s="669" t="s">
        <v>134</v>
      </c>
      <c r="C13" s="203">
        <v>44383</v>
      </c>
      <c r="D13" s="239" t="s">
        <v>451</v>
      </c>
      <c r="E13" s="19">
        <v>400</v>
      </c>
      <c r="F13" s="19">
        <v>1</v>
      </c>
      <c r="G13">
        <v>9261435457</v>
      </c>
      <c r="H13" s="318">
        <v>689600</v>
      </c>
      <c r="I13" s="670">
        <v>40000</v>
      </c>
      <c r="J13" s="207">
        <f>SUM(H13-I13-N13-P13-R13-T13-V13-X13-Z13-AB13-AD13-AF13-AH13-AJ13-AL13-AN13-AP13-AR13-AT13-AV13-AX13-AZ13-BB13-BD13-BF13-BH13-BJ13-BL13-BN13-BP13-BR13-BT13-BV13-BX13-BZ13-CB13-CD13-CF13-CH13-CJ13-CL13-CN13-CP13-CR13-CT13-CV13-CX13-CZ13-DB13-DD13-DF13-DH13-DJ13-DL13)</f>
        <v>0</v>
      </c>
      <c r="K13" s="649">
        <v>26400</v>
      </c>
      <c r="L13" s="19" t="s">
        <v>53</v>
      </c>
      <c r="M13" s="244">
        <v>44412</v>
      </c>
      <c r="N13" s="671">
        <v>40000</v>
      </c>
      <c r="O13" s="244">
        <v>44471</v>
      </c>
      <c r="P13" s="671">
        <v>25000</v>
      </c>
      <c r="Q13" s="244">
        <v>44529</v>
      </c>
      <c r="R13" s="671">
        <v>15000</v>
      </c>
      <c r="S13" s="244">
        <v>44574</v>
      </c>
      <c r="T13" s="672">
        <v>30000</v>
      </c>
      <c r="U13" s="244">
        <v>44628</v>
      </c>
      <c r="V13" s="672">
        <v>12000</v>
      </c>
      <c r="W13" s="244">
        <v>44656</v>
      </c>
      <c r="X13" s="672">
        <v>5000</v>
      </c>
      <c r="Y13" s="244">
        <v>44665</v>
      </c>
      <c r="Z13" s="672">
        <v>35000</v>
      </c>
      <c r="AA13" s="244">
        <v>44694</v>
      </c>
      <c r="AB13" s="672">
        <v>10000</v>
      </c>
      <c r="AC13" s="244">
        <v>44704</v>
      </c>
      <c r="AD13" s="672">
        <v>15000</v>
      </c>
      <c r="AE13" s="244">
        <v>44709</v>
      </c>
      <c r="AF13" s="672">
        <v>5000</v>
      </c>
      <c r="AG13" s="244">
        <v>44711</v>
      </c>
      <c r="AH13" s="672">
        <v>7000</v>
      </c>
      <c r="AI13" s="244">
        <v>44721</v>
      </c>
      <c r="AJ13" s="672">
        <v>5000</v>
      </c>
      <c r="AK13" s="244">
        <v>44740</v>
      </c>
      <c r="AL13" s="672">
        <v>10000</v>
      </c>
      <c r="AM13" s="244">
        <v>44771</v>
      </c>
      <c r="AN13" s="672">
        <v>6000</v>
      </c>
      <c r="AO13" s="244">
        <v>44781</v>
      </c>
      <c r="AP13" s="672">
        <v>15000</v>
      </c>
      <c r="AQ13" s="244">
        <v>44795</v>
      </c>
      <c r="AR13" s="672">
        <v>10000</v>
      </c>
      <c r="AS13" s="244">
        <v>44809</v>
      </c>
      <c r="AT13" s="672">
        <v>12000</v>
      </c>
      <c r="AU13" s="244">
        <v>44813</v>
      </c>
      <c r="AV13" s="672">
        <v>10000</v>
      </c>
      <c r="AW13" s="244">
        <v>44817</v>
      </c>
      <c r="AX13" s="672">
        <v>10000</v>
      </c>
      <c r="AY13" s="244">
        <v>44825</v>
      </c>
      <c r="AZ13" s="672">
        <v>10000</v>
      </c>
      <c r="BA13" s="244">
        <v>44835</v>
      </c>
      <c r="BB13" s="672">
        <v>10000</v>
      </c>
      <c r="BC13" s="244">
        <v>44840</v>
      </c>
      <c r="BD13" s="672">
        <v>10000</v>
      </c>
      <c r="BE13" s="244">
        <v>44846</v>
      </c>
      <c r="BF13" s="672">
        <v>10000</v>
      </c>
      <c r="BG13" s="244">
        <v>44867</v>
      </c>
      <c r="BH13" s="672">
        <v>10000</v>
      </c>
      <c r="BI13" s="244">
        <v>44877</v>
      </c>
      <c r="BJ13" s="672">
        <v>10000</v>
      </c>
      <c r="BK13" s="244">
        <v>44886</v>
      </c>
      <c r="BL13" s="672">
        <v>15000</v>
      </c>
      <c r="BM13" s="244">
        <v>44901</v>
      </c>
      <c r="BN13" s="672">
        <v>10000</v>
      </c>
      <c r="BO13" s="244">
        <v>44911</v>
      </c>
      <c r="BP13" s="672">
        <v>11600</v>
      </c>
      <c r="BQ13" s="244">
        <v>44914</v>
      </c>
      <c r="BR13" s="672">
        <v>10000</v>
      </c>
      <c r="BS13" s="244">
        <v>44923</v>
      </c>
      <c r="BT13" s="672">
        <v>10000</v>
      </c>
      <c r="BU13" s="244">
        <v>44932</v>
      </c>
      <c r="BV13" s="672">
        <v>10000</v>
      </c>
      <c r="BW13" s="244">
        <v>44936</v>
      </c>
      <c r="BX13" s="672">
        <v>10000</v>
      </c>
      <c r="BY13" s="244">
        <v>44939</v>
      </c>
      <c r="BZ13" s="672">
        <v>10000</v>
      </c>
      <c r="CA13" s="244">
        <v>44944</v>
      </c>
      <c r="CB13" s="672">
        <v>10000</v>
      </c>
      <c r="CC13" s="244">
        <v>44950</v>
      </c>
      <c r="CD13" s="672">
        <v>10000</v>
      </c>
      <c r="CE13" s="244">
        <v>44965</v>
      </c>
      <c r="CF13" s="672">
        <v>15000</v>
      </c>
      <c r="CG13" s="244">
        <v>44972</v>
      </c>
      <c r="CH13" s="672">
        <v>10000</v>
      </c>
      <c r="CI13" s="244">
        <v>44985</v>
      </c>
      <c r="CJ13" s="672">
        <v>10000</v>
      </c>
      <c r="CK13" s="244">
        <v>44994</v>
      </c>
      <c r="CL13" s="672">
        <v>10000</v>
      </c>
      <c r="CM13" s="244">
        <v>45007</v>
      </c>
      <c r="CN13" s="672">
        <v>15000</v>
      </c>
      <c r="CO13" s="244">
        <v>45014</v>
      </c>
      <c r="CP13" s="672">
        <v>10000</v>
      </c>
      <c r="CQ13" s="244">
        <v>45020</v>
      </c>
      <c r="CR13" s="672">
        <v>15000</v>
      </c>
      <c r="CS13" s="244">
        <v>45028</v>
      </c>
      <c r="CT13" s="672">
        <v>10000</v>
      </c>
      <c r="CU13" s="244">
        <v>45035</v>
      </c>
      <c r="CV13" s="672">
        <v>10000</v>
      </c>
      <c r="CW13" s="244">
        <v>45041</v>
      </c>
      <c r="CX13" s="673">
        <v>10000</v>
      </c>
      <c r="CY13" s="244">
        <v>45049</v>
      </c>
      <c r="CZ13" s="673">
        <v>15000</v>
      </c>
      <c r="DA13" s="244">
        <v>45057</v>
      </c>
      <c r="DB13" s="673">
        <v>15000</v>
      </c>
      <c r="DC13" s="244">
        <v>45061</v>
      </c>
      <c r="DD13" s="318">
        <v>15000</v>
      </c>
      <c r="DE13" s="244">
        <v>45070</v>
      </c>
      <c r="DF13" s="318">
        <v>10000</v>
      </c>
      <c r="DG13" s="244">
        <v>44680</v>
      </c>
      <c r="DH13" s="318">
        <v>6000</v>
      </c>
      <c r="DI13" s="244">
        <v>45084</v>
      </c>
      <c r="DJ13" s="318">
        <v>26000</v>
      </c>
      <c r="DL13" s="318">
        <v>4000</v>
      </c>
      <c r="DM13" s="228" t="s">
        <v>17</v>
      </c>
      <c r="DN13" s="321">
        <v>6800</v>
      </c>
    </row>
    <row r="14" spans="1:118">
      <c r="A14" s="19">
        <v>7</v>
      </c>
      <c r="B14" s="213" t="s">
        <v>55</v>
      </c>
      <c r="C14" s="203">
        <v>44984</v>
      </c>
      <c r="D14" s="640" t="s">
        <v>452</v>
      </c>
      <c r="E14" s="19">
        <v>150</v>
      </c>
      <c r="F14" s="19">
        <v>39</v>
      </c>
      <c r="H14" s="318">
        <v>289200</v>
      </c>
      <c r="I14" s="214">
        <v>70000</v>
      </c>
      <c r="J14" s="207">
        <f>H14-I14-N14-P14</f>
        <v>164200</v>
      </c>
      <c r="K14" s="649"/>
      <c r="L14" s="19" t="s">
        <v>69</v>
      </c>
      <c r="M14" s="244">
        <v>45068</v>
      </c>
      <c r="N14" s="674">
        <v>50000</v>
      </c>
      <c r="O14" s="244">
        <v>45911</v>
      </c>
      <c r="P14" s="394">
        <v>5000</v>
      </c>
      <c r="Q14" s="244"/>
      <c r="R14" s="243"/>
      <c r="S14" s="244"/>
      <c r="T14" s="318"/>
      <c r="U14" s="244"/>
      <c r="V14" s="318"/>
      <c r="W14" s="244"/>
      <c r="X14" s="318"/>
      <c r="Y14" s="244"/>
      <c r="Z14" s="318"/>
      <c r="AA14" s="244"/>
      <c r="AB14" s="318"/>
      <c r="AC14" s="244"/>
      <c r="AD14" s="318"/>
      <c r="AE14" s="244"/>
      <c r="AF14" s="318"/>
      <c r="AG14" s="244"/>
      <c r="AH14" s="318"/>
      <c r="AI14" s="244"/>
      <c r="AJ14" s="318"/>
      <c r="AK14" s="244"/>
      <c r="AL14" s="318"/>
      <c r="AM14" s="244"/>
      <c r="AN14" s="318"/>
      <c r="AO14" s="244"/>
      <c r="AP14" s="318"/>
      <c r="AQ14" s="244"/>
      <c r="AR14" s="318"/>
      <c r="AS14" s="244"/>
      <c r="AT14" s="318"/>
      <c r="AU14" s="244"/>
      <c r="AV14" s="318"/>
      <c r="AW14" s="244"/>
      <c r="AX14" s="318"/>
      <c r="AY14" s="244"/>
      <c r="AZ14" s="318"/>
      <c r="BA14" s="244"/>
      <c r="BB14" s="318"/>
      <c r="BC14" s="244"/>
      <c r="BD14" s="318"/>
      <c r="BE14" s="244"/>
      <c r="BF14" s="318"/>
      <c r="BG14" s="244"/>
      <c r="BH14" s="318"/>
      <c r="BI14" s="244"/>
      <c r="BJ14" s="318"/>
      <c r="BK14" s="244"/>
      <c r="BL14" s="318"/>
      <c r="BM14" s="244"/>
      <c r="BN14" s="318"/>
      <c r="BO14" s="244"/>
      <c r="BP14" s="318"/>
      <c r="BQ14" s="244"/>
      <c r="BR14" s="318"/>
      <c r="BS14" s="244"/>
      <c r="BT14" s="318"/>
      <c r="BU14" s="244"/>
      <c r="BV14" s="318"/>
      <c r="BW14" s="244"/>
      <c r="BX14" s="318"/>
      <c r="BY14" s="244"/>
      <c r="BZ14" s="318"/>
      <c r="CA14" s="244"/>
      <c r="CB14" s="318"/>
      <c r="CC14" s="244"/>
      <c r="CD14" s="318"/>
      <c r="CE14" s="244"/>
      <c r="CF14" s="318"/>
      <c r="CG14" s="244"/>
      <c r="CH14" s="318"/>
    </row>
    <row r="15" spans="1:118" ht="14.25" customHeight="1">
      <c r="C15" s="203">
        <v>44954</v>
      </c>
      <c r="D15" s="640" t="s">
        <v>453</v>
      </c>
      <c r="E15" s="19">
        <v>300</v>
      </c>
      <c r="F15" s="19">
        <v>10</v>
      </c>
      <c r="G15">
        <v>9187793468</v>
      </c>
      <c r="H15" s="276">
        <v>418400</v>
      </c>
      <c r="I15" s="632">
        <v>10000</v>
      </c>
      <c r="J15" s="278">
        <f>H15-I15-N15-P15-R15</f>
        <v>178400</v>
      </c>
      <c r="K15" s="633"/>
      <c r="L15" s="196" t="s">
        <v>454</v>
      </c>
      <c r="M15" s="244">
        <v>44987</v>
      </c>
      <c r="N15" s="243">
        <v>20000</v>
      </c>
      <c r="O15" s="244">
        <v>45086</v>
      </c>
      <c r="P15" s="243">
        <v>190000</v>
      </c>
      <c r="Q15" s="244">
        <v>45050</v>
      </c>
      <c r="R15" s="243">
        <v>20000</v>
      </c>
      <c r="S15" s="244"/>
      <c r="T15" s="318"/>
      <c r="U15" s="244"/>
      <c r="V15" s="318"/>
      <c r="W15" s="244"/>
      <c r="X15" s="318"/>
      <c r="Y15" s="244"/>
      <c r="Z15" s="318"/>
    </row>
    <row r="16" spans="1:118">
      <c r="A16" s="19">
        <v>7</v>
      </c>
      <c r="B16" s="675" t="s">
        <v>455</v>
      </c>
      <c r="C16" s="203">
        <v>44384</v>
      </c>
      <c r="D16" s="239" t="s">
        <v>456</v>
      </c>
      <c r="E16" s="19">
        <v>300</v>
      </c>
      <c r="F16" s="19">
        <v>3</v>
      </c>
      <c r="G16">
        <v>9557502036</v>
      </c>
      <c r="H16" s="676">
        <v>535000</v>
      </c>
      <c r="I16" s="419">
        <v>5000</v>
      </c>
      <c r="J16" s="207">
        <f>SUM(H16-I16-N16-P16-R16-T16-V16)</f>
        <v>0</v>
      </c>
      <c r="K16" s="645" t="s">
        <v>15</v>
      </c>
      <c r="L16" s="19" t="s">
        <v>53</v>
      </c>
      <c r="M16" s="651">
        <v>44431</v>
      </c>
      <c r="N16" s="650">
        <v>15000</v>
      </c>
      <c r="O16" s="651">
        <v>44529</v>
      </c>
      <c r="P16" s="650">
        <v>90000</v>
      </c>
      <c r="Q16" s="651">
        <v>44662</v>
      </c>
      <c r="R16" s="650">
        <v>60000</v>
      </c>
      <c r="S16" s="651">
        <v>45483</v>
      </c>
      <c r="T16" s="677">
        <v>300000</v>
      </c>
      <c r="U16" s="651">
        <v>45510</v>
      </c>
      <c r="V16" s="677">
        <v>65000</v>
      </c>
      <c r="W16" s="228" t="s">
        <v>17</v>
      </c>
      <c r="X16" s="321">
        <v>1500</v>
      </c>
      <c r="Y16" s="752" t="s">
        <v>659</v>
      </c>
      <c r="Z16" s="753">
        <v>20000</v>
      </c>
    </row>
    <row r="17" spans="1:32">
      <c r="A17" s="19">
        <v>7</v>
      </c>
      <c r="B17" s="840" t="s">
        <v>689</v>
      </c>
      <c r="C17" s="203">
        <v>45307</v>
      </c>
      <c r="D17" s="640" t="s">
        <v>457</v>
      </c>
      <c r="E17" s="19">
        <v>300</v>
      </c>
      <c r="F17" s="19">
        <v>15</v>
      </c>
      <c r="H17" s="318">
        <v>792000</v>
      </c>
      <c r="I17" s="240">
        <v>15000</v>
      </c>
      <c r="J17" s="207">
        <f>H17-I17-N17-P17</f>
        <v>707000</v>
      </c>
      <c r="K17" s="649">
        <v>10166</v>
      </c>
      <c r="L17" s="19" t="s">
        <v>175</v>
      </c>
      <c r="M17" s="244">
        <v>45385</v>
      </c>
      <c r="N17" s="678">
        <v>20000</v>
      </c>
      <c r="O17" s="244">
        <v>45509</v>
      </c>
      <c r="P17" s="678">
        <v>50000</v>
      </c>
      <c r="Q17" s="244"/>
      <c r="R17" s="243"/>
    </row>
    <row r="18" spans="1:32">
      <c r="A18" s="19">
        <v>7</v>
      </c>
      <c r="B18" s="219" t="s">
        <v>14</v>
      </c>
      <c r="C18" s="679">
        <v>44403</v>
      </c>
      <c r="D18" s="230" t="s">
        <v>458</v>
      </c>
      <c r="E18" s="19">
        <v>150</v>
      </c>
      <c r="F18" s="19">
        <v>37</v>
      </c>
      <c r="G18">
        <v>9353682912</v>
      </c>
      <c r="H18" s="680">
        <v>225000</v>
      </c>
      <c r="I18" s="681">
        <v>5000</v>
      </c>
      <c r="J18" s="682">
        <f>SUM(H18-I18-N18-P18-R18)</f>
        <v>0</v>
      </c>
      <c r="K18" s="645" t="s">
        <v>15</v>
      </c>
      <c r="L18" s="19" t="s">
        <v>141</v>
      </c>
      <c r="M18" s="244">
        <v>44441</v>
      </c>
      <c r="N18" s="227">
        <v>20000</v>
      </c>
      <c r="O18" s="244">
        <v>44474</v>
      </c>
      <c r="P18" s="683">
        <v>50000</v>
      </c>
      <c r="Q18" s="244">
        <v>44699</v>
      </c>
      <c r="R18" s="378">
        <v>150000</v>
      </c>
      <c r="S18" s="325" t="s">
        <v>17</v>
      </c>
      <c r="T18" s="284">
        <v>1000</v>
      </c>
    </row>
    <row r="19" spans="1:32">
      <c r="H19" s="318">
        <f>SUM(H2:H18)</f>
        <v>8862484</v>
      </c>
      <c r="I19" s="380">
        <f>SUM(I8:I18)</f>
        <v>355000</v>
      </c>
      <c r="J19" s="207">
        <f>SUM(J2:J18)</f>
        <v>3596300</v>
      </c>
    </row>
    <row r="21" spans="1:32">
      <c r="A21" s="238"/>
      <c r="B21" s="920" t="s">
        <v>459</v>
      </c>
      <c r="C21" s="920"/>
    </row>
    <row r="22" spans="1:32">
      <c r="A22" s="19">
        <v>7</v>
      </c>
      <c r="B22" s="418" t="s">
        <v>460</v>
      </c>
      <c r="C22" s="203">
        <v>44386</v>
      </c>
      <c r="D22" s="640" t="s">
        <v>461</v>
      </c>
      <c r="E22" s="275">
        <v>300</v>
      </c>
      <c r="F22" s="275">
        <v>5</v>
      </c>
      <c r="G22" s="275">
        <v>9553151187</v>
      </c>
      <c r="H22" s="276">
        <v>450000</v>
      </c>
      <c r="I22" s="659">
        <v>5000</v>
      </c>
      <c r="J22" s="278">
        <f>SUM(H22-I22-N22-P22-R22)</f>
        <v>445000</v>
      </c>
      <c r="K22" s="684" t="s">
        <v>15</v>
      </c>
      <c r="L22" s="196" t="s">
        <v>141</v>
      </c>
      <c r="M22" s="196"/>
      <c r="N22" s="631"/>
      <c r="O22" s="196"/>
      <c r="P22" s="631"/>
      <c r="Q22" s="197"/>
      <c r="R22" s="211"/>
      <c r="S22" s="197"/>
      <c r="T22" s="199"/>
      <c r="U22" s="200"/>
      <c r="V22" s="199"/>
      <c r="W22" s="200"/>
      <c r="X22" s="199"/>
      <c r="Z22" s="201"/>
      <c r="AB22" s="201"/>
      <c r="AD22" s="201"/>
      <c r="AF22" s="201"/>
    </row>
    <row r="23" spans="1:32">
      <c r="A23" s="19">
        <v>7</v>
      </c>
      <c r="B23" s="685" t="s">
        <v>462</v>
      </c>
      <c r="C23" s="203">
        <v>44408</v>
      </c>
      <c r="D23" s="640" t="s">
        <v>463</v>
      </c>
      <c r="E23" s="275">
        <v>200</v>
      </c>
      <c r="F23" s="275">
        <v>35</v>
      </c>
      <c r="G23" s="275">
        <v>9277389031</v>
      </c>
      <c r="H23" s="276">
        <v>356799</v>
      </c>
      <c r="I23" s="686">
        <v>44600</v>
      </c>
      <c r="J23" s="207">
        <f>H23-I23</f>
        <v>312199</v>
      </c>
      <c r="K23" s="649" t="s">
        <v>464</v>
      </c>
      <c r="L23" s="19" t="s">
        <v>53</v>
      </c>
      <c r="M23" s="687" t="s">
        <v>26</v>
      </c>
      <c r="N23" s="688">
        <v>500</v>
      </c>
      <c r="O23" s="921" t="s">
        <v>465</v>
      </c>
      <c r="P23" s="921"/>
      <c r="Q23" s="921"/>
      <c r="R23" s="912" t="s">
        <v>466</v>
      </c>
      <c r="S23" s="912"/>
      <c r="T23" s="912"/>
      <c r="U23" s="907" t="s">
        <v>467</v>
      </c>
      <c r="V23" s="907"/>
      <c r="W23" s="907"/>
      <c r="X23" s="199"/>
      <c r="Y23" s="909" t="s">
        <v>468</v>
      </c>
      <c r="Z23" s="909"/>
      <c r="AA23" s="909"/>
      <c r="AB23" s="907" t="s">
        <v>660</v>
      </c>
      <c r="AC23" s="907"/>
      <c r="AD23" s="907"/>
      <c r="AE23" s="907"/>
      <c r="AF23" s="201"/>
    </row>
    <row r="24" spans="1:32">
      <c r="A24" s="19">
        <v>7</v>
      </c>
      <c r="B24" s="258" t="s">
        <v>20</v>
      </c>
      <c r="C24" s="565">
        <v>44711</v>
      </c>
      <c r="D24" s="332" t="s">
        <v>469</v>
      </c>
      <c r="E24" s="275">
        <v>300</v>
      </c>
      <c r="F24" s="275">
        <v>17</v>
      </c>
      <c r="G24" s="275">
        <v>9050432069</v>
      </c>
      <c r="H24" s="276">
        <v>578400</v>
      </c>
      <c r="I24" s="632" t="s">
        <v>15</v>
      </c>
      <c r="J24" s="278">
        <f>H24-N24-P24-R24-T24</f>
        <v>510196</v>
      </c>
      <c r="K24" s="633">
        <v>16068</v>
      </c>
      <c r="L24" s="196" t="s">
        <v>441</v>
      </c>
      <c r="M24" s="231">
        <v>44711</v>
      </c>
      <c r="N24" s="689">
        <v>16068</v>
      </c>
      <c r="O24" s="231">
        <v>44771</v>
      </c>
      <c r="P24" s="689">
        <v>16068</v>
      </c>
      <c r="Q24" s="209">
        <v>44837</v>
      </c>
      <c r="R24" s="690">
        <v>16068</v>
      </c>
      <c r="S24" s="209">
        <v>44896</v>
      </c>
      <c r="T24" s="351">
        <v>20000</v>
      </c>
      <c r="U24" s="907" t="s">
        <v>470</v>
      </c>
      <c r="V24" s="907"/>
      <c r="W24" s="907"/>
      <c r="X24" s="199"/>
      <c r="Z24" s="201"/>
      <c r="AB24" s="201"/>
      <c r="AD24" s="201"/>
      <c r="AF24" s="201"/>
    </row>
    <row r="26" spans="1:32">
      <c r="A26" s="238" t="s">
        <v>471</v>
      </c>
      <c r="B26" s="238"/>
      <c r="C26" s="691"/>
    </row>
    <row r="27" spans="1:32">
      <c r="A27" s="19">
        <v>7</v>
      </c>
      <c r="B27" s="309" t="s">
        <v>401</v>
      </c>
      <c r="C27" s="203">
        <v>44390</v>
      </c>
      <c r="D27" s="640" t="s">
        <v>472</v>
      </c>
      <c r="E27" s="275">
        <v>150</v>
      </c>
      <c r="F27" s="275">
        <v>39</v>
      </c>
      <c r="G27" s="275"/>
      <c r="H27" s="276">
        <v>267600</v>
      </c>
      <c r="I27" s="664">
        <v>5000</v>
      </c>
      <c r="J27" s="278">
        <f>SUM(H27-I27-N27-P27)</f>
        <v>262600</v>
      </c>
      <c r="K27" s="633">
        <v>9900</v>
      </c>
      <c r="L27" s="196" t="s">
        <v>53</v>
      </c>
      <c r="M27" s="196"/>
      <c r="N27" s="631"/>
      <c r="O27" s="196"/>
      <c r="P27" s="631"/>
      <c r="Q27" s="197"/>
      <c r="R27" s="211"/>
      <c r="S27" s="197"/>
      <c r="T27" s="199"/>
      <c r="U27" s="200"/>
      <c r="V27" s="199"/>
      <c r="W27" s="200"/>
      <c r="X27" s="199"/>
      <c r="Z27" s="201"/>
      <c r="AB27" s="201"/>
      <c r="AD27" s="201"/>
      <c r="AF27" s="201"/>
    </row>
    <row r="28" spans="1:32">
      <c r="A28" s="19">
        <v>7</v>
      </c>
      <c r="B28" s="692" t="s">
        <v>313</v>
      </c>
      <c r="C28" s="203">
        <v>44533</v>
      </c>
      <c r="D28" s="640" t="s">
        <v>473</v>
      </c>
      <c r="E28" s="275" t="s">
        <v>474</v>
      </c>
      <c r="F28" s="275">
        <v>13</v>
      </c>
      <c r="G28" s="275">
        <v>9754422723</v>
      </c>
      <c r="H28" s="276">
        <v>192800</v>
      </c>
      <c r="I28" s="632" t="s">
        <v>15</v>
      </c>
      <c r="J28" s="207">
        <f>H28-N28-P28</f>
        <v>176300</v>
      </c>
      <c r="K28" s="649">
        <v>5355.55</v>
      </c>
      <c r="L28" s="19" t="s">
        <v>441</v>
      </c>
      <c r="M28" s="231">
        <v>44533</v>
      </c>
      <c r="N28" s="693">
        <v>5500</v>
      </c>
      <c r="O28" s="231">
        <v>44639</v>
      </c>
      <c r="P28" s="276">
        <v>11000</v>
      </c>
      <c r="Q28" s="197"/>
      <c r="R28" s="211"/>
      <c r="S28" s="197"/>
      <c r="T28" s="199"/>
      <c r="U28" s="200"/>
      <c r="V28" s="199"/>
      <c r="W28" s="200"/>
      <c r="X28" s="199"/>
      <c r="Z28" s="201"/>
      <c r="AB28" s="201"/>
      <c r="AD28" s="201"/>
      <c r="AF28" s="201"/>
    </row>
    <row r="29" spans="1:32">
      <c r="A29" s="19">
        <v>7</v>
      </c>
      <c r="B29" s="418" t="s">
        <v>460</v>
      </c>
      <c r="C29" s="203">
        <v>44386</v>
      </c>
      <c r="D29" t="s">
        <v>475</v>
      </c>
      <c r="E29" s="19">
        <v>300</v>
      </c>
      <c r="F29" s="19">
        <v>4</v>
      </c>
      <c r="G29">
        <v>9499599941</v>
      </c>
      <c r="H29" s="276">
        <v>450000</v>
      </c>
      <c r="I29" s="659">
        <v>5000</v>
      </c>
      <c r="J29" s="278">
        <f>SUM(H29-I29-N29-P29-R29)</f>
        <v>445000</v>
      </c>
      <c r="K29" s="684" t="s">
        <v>15</v>
      </c>
      <c r="L29" s="196" t="s">
        <v>141</v>
      </c>
    </row>
    <row r="30" spans="1:32">
      <c r="A30" s="19">
        <v>7</v>
      </c>
      <c r="B30" s="694" t="s">
        <v>121</v>
      </c>
      <c r="C30" s="203">
        <v>44789</v>
      </c>
      <c r="D30" s="640" t="s">
        <v>406</v>
      </c>
      <c r="E30" s="275">
        <v>300</v>
      </c>
      <c r="F30" s="275">
        <v>22</v>
      </c>
      <c r="G30" s="275"/>
      <c r="H30" s="276">
        <v>578400</v>
      </c>
      <c r="I30" s="632">
        <v>2500</v>
      </c>
      <c r="J30" s="278">
        <f>H30-I30-N30</f>
        <v>575900</v>
      </c>
      <c r="K30" s="633">
        <v>14400</v>
      </c>
      <c r="L30" s="196" t="s">
        <v>69</v>
      </c>
      <c r="M30" s="231"/>
      <c r="N30" s="276"/>
      <c r="O30" s="231"/>
      <c r="P30" s="276"/>
      <c r="Q30" s="209"/>
      <c r="R30" s="567"/>
      <c r="S30" s="209"/>
      <c r="T30" s="412"/>
      <c r="U30" s="200"/>
      <c r="V30" s="199"/>
      <c r="W30" s="200"/>
      <c r="X30" s="199"/>
      <c r="Z30" s="201"/>
      <c r="AB30" s="201"/>
      <c r="AD30" s="201"/>
      <c r="AF30" s="201"/>
    </row>
    <row r="31" spans="1:32">
      <c r="A31" s="19">
        <v>7</v>
      </c>
      <c r="B31" s="258" t="s">
        <v>20</v>
      </c>
      <c r="C31" s="203">
        <v>44422</v>
      </c>
      <c r="D31" s="640" t="s">
        <v>476</v>
      </c>
      <c r="E31" s="275">
        <v>300</v>
      </c>
      <c r="F31" s="275">
        <v>6</v>
      </c>
      <c r="G31" s="275">
        <v>9358997124</v>
      </c>
      <c r="H31" s="276">
        <v>577860</v>
      </c>
      <c r="I31" s="695">
        <v>10000</v>
      </c>
      <c r="J31" s="278">
        <f>SUM(H31-I31-N31-P31-R31)</f>
        <v>567860</v>
      </c>
      <c r="K31" s="633">
        <v>16051</v>
      </c>
      <c r="L31" s="196" t="s">
        <v>69</v>
      </c>
      <c r="M31" s="922" t="s">
        <v>477</v>
      </c>
      <c r="N31" s="922"/>
      <c r="O31" s="922"/>
      <c r="P31" s="631"/>
      <c r="Q31" s="197"/>
      <c r="R31" s="211"/>
      <c r="S31" s="197"/>
      <c r="T31" s="199"/>
      <c r="U31" s="200"/>
      <c r="V31" s="199"/>
      <c r="W31" s="200"/>
      <c r="X31" s="199"/>
      <c r="Z31" s="201"/>
      <c r="AB31" s="201"/>
      <c r="AD31" s="201"/>
      <c r="AF31" s="201"/>
    </row>
    <row r="34" spans="1:41">
      <c r="A34" s="920" t="s">
        <v>478</v>
      </c>
      <c r="B34" s="920"/>
      <c r="C34" s="920"/>
    </row>
    <row r="35" spans="1:41">
      <c r="A35" s="19">
        <v>7</v>
      </c>
      <c r="B35" s="405" t="s">
        <v>121</v>
      </c>
      <c r="C35" s="203">
        <v>44440</v>
      </c>
      <c r="D35" s="332" t="s">
        <v>479</v>
      </c>
      <c r="E35" s="19">
        <v>300</v>
      </c>
      <c r="F35" s="19">
        <v>15</v>
      </c>
      <c r="H35" s="276">
        <v>578400</v>
      </c>
      <c r="I35" s="696">
        <v>20000</v>
      </c>
      <c r="J35" s="278">
        <f>SUM(H35-I35-N35-P35-R35-T35-V35-X35-Z35)</f>
        <v>178400</v>
      </c>
      <c r="K35" s="633">
        <v>14400</v>
      </c>
      <c r="L35" s="196" t="s">
        <v>69</v>
      </c>
      <c r="M35" s="244">
        <v>44440</v>
      </c>
      <c r="N35" s="697">
        <v>40000</v>
      </c>
      <c r="O35" s="244">
        <v>44504</v>
      </c>
      <c r="P35" s="697">
        <v>60000</v>
      </c>
      <c r="Q35" s="244">
        <v>44604</v>
      </c>
      <c r="R35" s="697">
        <v>60000</v>
      </c>
      <c r="S35" s="244">
        <v>44713</v>
      </c>
      <c r="T35" s="698">
        <v>40000</v>
      </c>
      <c r="U35" s="244">
        <v>44777</v>
      </c>
      <c r="V35" s="698">
        <v>60000</v>
      </c>
      <c r="W35" s="244">
        <v>44925</v>
      </c>
      <c r="X35" s="699">
        <v>60000</v>
      </c>
      <c r="Y35" s="244">
        <v>45035</v>
      </c>
      <c r="Z35" s="318">
        <v>60000</v>
      </c>
      <c r="AA35" s="923" t="s">
        <v>480</v>
      </c>
      <c r="AB35" s="923"/>
      <c r="AC35" s="924" t="s">
        <v>481</v>
      </c>
      <c r="AD35" s="924"/>
      <c r="AE35" s="924"/>
      <c r="AF35" s="909" t="s">
        <v>482</v>
      </c>
      <c r="AG35" s="909"/>
      <c r="AH35" s="909"/>
      <c r="AI35" s="909" t="s">
        <v>483</v>
      </c>
      <c r="AJ35" s="909"/>
      <c r="AK35" s="909"/>
      <c r="AL35" s="909" t="s">
        <v>484</v>
      </c>
      <c r="AM35" s="909"/>
      <c r="AN35" s="909"/>
      <c r="AO35" s="909"/>
    </row>
  </sheetData>
  <mergeCells count="14">
    <mergeCell ref="U24:W24"/>
    <mergeCell ref="AL35:AO35"/>
    <mergeCell ref="M31:O31"/>
    <mergeCell ref="A34:C34"/>
    <mergeCell ref="AA35:AB35"/>
    <mergeCell ref="AC35:AE35"/>
    <mergeCell ref="AF35:AH35"/>
    <mergeCell ref="AI35:AK35"/>
    <mergeCell ref="AB23:AE23"/>
    <mergeCell ref="B21:C21"/>
    <mergeCell ref="O23:Q23"/>
    <mergeCell ref="R23:T23"/>
    <mergeCell ref="U23:W23"/>
    <mergeCell ref="Y23:AA23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O143"/>
  <sheetViews>
    <sheetView topLeftCell="A68" zoomScale="90" zoomScaleNormal="90" workbookViewId="0">
      <selection activeCell="A81" sqref="A81"/>
    </sheetView>
  </sheetViews>
  <sheetFormatPr defaultColWidth="9" defaultRowHeight="15"/>
  <cols>
    <col min="1" max="1" width="7.28515625" style="19" customWidth="1"/>
    <col min="2" max="2" width="12.42578125" style="19" customWidth="1"/>
    <col min="3" max="3" width="11.85546875" style="19" customWidth="1"/>
    <col min="4" max="4" width="32.85546875" style="379" customWidth="1"/>
    <col min="5" max="5" width="7.85546875" style="3" customWidth="1"/>
    <col min="6" max="6" width="11.42578125" style="3" customWidth="1"/>
    <col min="7" max="7" width="18.28515625" style="19" customWidth="1"/>
    <col min="8" max="8" width="9.85546875" style="701" customWidth="1"/>
    <col min="9" max="9" width="9" style="702"/>
    <col min="10" max="10" width="11.85546875" style="703" customWidth="1"/>
    <col min="11" max="11" width="9" style="704"/>
    <col min="12" max="12" width="9" style="705"/>
    <col min="13" max="13" width="10.5703125" style="441" customWidth="1"/>
    <col min="14" max="14" width="11.28515625" style="713" customWidth="1"/>
    <col min="15" max="15" width="9" style="19"/>
    <col min="16" max="16" width="11.7109375" style="714" customWidth="1"/>
    <col min="18" max="18" width="10.7109375" style="713" customWidth="1"/>
    <col min="19" max="19" width="10.7109375" style="318" customWidth="1"/>
    <col min="20" max="20" width="10.7109375" style="713" customWidth="1"/>
    <col min="22" max="22" width="12.5703125" customWidth="1"/>
    <col min="24" max="24" width="11.28515625" customWidth="1"/>
    <col min="26" max="26" width="10.5703125" customWidth="1"/>
    <col min="28" max="28" width="10.85546875" customWidth="1"/>
    <col min="30" max="30" width="11.7109375" customWidth="1"/>
    <col min="32" max="32" width="10.85546875" customWidth="1"/>
    <col min="34" max="34" width="11.28515625" customWidth="1"/>
    <col min="36" max="36" width="11.85546875" customWidth="1"/>
    <col min="38" max="38" width="11.42578125" customWidth="1"/>
    <col min="40" max="40" width="11.85546875" customWidth="1"/>
    <col min="42" max="42" width="12.140625" customWidth="1"/>
    <col min="44" max="44" width="11.42578125" customWidth="1"/>
    <col min="46" max="46" width="10.85546875" customWidth="1"/>
    <col min="48" max="48" width="12.28515625" customWidth="1"/>
    <col min="50" max="50" width="13" customWidth="1"/>
    <col min="52" max="52" width="10.42578125" bestFit="1" customWidth="1"/>
    <col min="54" max="54" width="12.42578125" customWidth="1"/>
    <col min="56" max="56" width="12.85546875" customWidth="1"/>
    <col min="58" max="58" width="10.42578125" bestFit="1" customWidth="1"/>
    <col min="60" max="60" width="11.7109375" customWidth="1"/>
    <col min="62" max="62" width="11.5703125" customWidth="1"/>
    <col min="64" max="64" width="11.5703125" customWidth="1"/>
    <col min="66" max="66" width="10.42578125" customWidth="1"/>
  </cols>
  <sheetData>
    <row r="1" spans="1:67" s="708" customFormat="1">
      <c r="A1" s="441" t="s">
        <v>2</v>
      </c>
      <c r="B1" s="441" t="s">
        <v>4</v>
      </c>
      <c r="C1" s="441" t="s">
        <v>485</v>
      </c>
      <c r="D1" s="441" t="s">
        <v>1</v>
      </c>
      <c r="E1" s="441" t="s">
        <v>3</v>
      </c>
      <c r="F1" s="700" t="s">
        <v>6</v>
      </c>
      <c r="G1" s="441" t="s">
        <v>7</v>
      </c>
      <c r="H1" s="701" t="s">
        <v>8</v>
      </c>
      <c r="I1" s="702" t="s">
        <v>486</v>
      </c>
      <c r="J1" s="703" t="s">
        <v>10</v>
      </c>
      <c r="K1" s="704" t="s">
        <v>9</v>
      </c>
      <c r="L1" s="705" t="s">
        <v>430</v>
      </c>
      <c r="M1" s="441" t="s">
        <v>12</v>
      </c>
      <c r="N1" s="706"/>
      <c r="O1" s="441"/>
      <c r="P1" s="707"/>
      <c r="R1" s="706"/>
      <c r="S1" s="709"/>
      <c r="T1" s="706"/>
    </row>
    <row r="2" spans="1:67" s="708" customFormat="1">
      <c r="A2" s="441"/>
      <c r="B2" s="441"/>
      <c r="C2" s="441"/>
      <c r="D2" s="441"/>
      <c r="E2" s="441"/>
      <c r="F2" s="700"/>
      <c r="G2" s="441"/>
      <c r="H2" s="701"/>
      <c r="I2" s="702"/>
      <c r="J2" s="703"/>
      <c r="K2" s="704"/>
      <c r="L2" s="705"/>
      <c r="M2" s="441"/>
      <c r="N2" s="706"/>
      <c r="O2" s="441"/>
      <c r="P2" s="707"/>
      <c r="R2" s="706"/>
      <c r="S2" s="709"/>
      <c r="T2" s="706"/>
    </row>
    <row r="3" spans="1:67" s="343" customFormat="1">
      <c r="A3" s="262"/>
      <c r="B3" s="262" t="s">
        <v>487</v>
      </c>
      <c r="C3" s="710">
        <v>45388</v>
      </c>
      <c r="D3" s="711" t="s">
        <v>488</v>
      </c>
      <c r="E3" s="262">
        <v>200</v>
      </c>
      <c r="F3" s="3">
        <v>29</v>
      </c>
      <c r="G3" s="262"/>
      <c r="H3" s="701">
        <v>206268</v>
      </c>
      <c r="I3" s="712"/>
      <c r="J3" s="703"/>
      <c r="K3" s="704"/>
      <c r="L3" s="705">
        <v>14689</v>
      </c>
      <c r="M3" s="441" t="s">
        <v>66</v>
      </c>
      <c r="N3" s="713"/>
      <c r="O3" s="262"/>
      <c r="P3" s="714"/>
      <c r="R3" s="713"/>
      <c r="S3" s="416"/>
      <c r="T3" s="713"/>
    </row>
    <row r="4" spans="1:67" s="708" customFormat="1">
      <c r="A4" s="441"/>
      <c r="B4" s="441"/>
      <c r="C4" s="710">
        <v>45354</v>
      </c>
      <c r="D4" s="711" t="s">
        <v>489</v>
      </c>
      <c r="E4" s="441"/>
      <c r="F4" s="700"/>
      <c r="G4" s="441"/>
      <c r="H4" s="701"/>
      <c r="I4" s="702"/>
      <c r="J4" s="703"/>
      <c r="K4" s="704">
        <v>5000</v>
      </c>
      <c r="L4" s="705"/>
      <c r="M4" s="441"/>
      <c r="N4" s="706"/>
      <c r="O4" s="441"/>
      <c r="P4" s="707"/>
      <c r="R4" s="706"/>
      <c r="S4" s="709"/>
      <c r="T4" s="706"/>
    </row>
    <row r="5" spans="1:67" s="708" customFormat="1">
      <c r="A5" s="441"/>
      <c r="B5" s="441"/>
      <c r="C5" s="710"/>
      <c r="D5" s="711" t="s">
        <v>490</v>
      </c>
      <c r="E5" s="262">
        <v>200</v>
      </c>
      <c r="F5" s="3">
        <v>12</v>
      </c>
      <c r="G5" s="262">
        <v>9638395254</v>
      </c>
      <c r="H5" s="701">
        <v>206268</v>
      </c>
      <c r="I5" s="702"/>
      <c r="J5" s="703"/>
      <c r="K5" s="704"/>
      <c r="L5" s="705">
        <v>14689</v>
      </c>
      <c r="M5" s="441" t="s">
        <v>66</v>
      </c>
      <c r="N5" s="706"/>
      <c r="O5" s="441"/>
      <c r="P5" s="707"/>
      <c r="R5" s="706"/>
      <c r="S5" s="709"/>
      <c r="T5" s="706"/>
    </row>
    <row r="6" spans="1:67" s="343" customFormat="1">
      <c r="A6" s="262"/>
      <c r="B6" s="715" t="s">
        <v>25</v>
      </c>
      <c r="C6" s="710">
        <v>45351</v>
      </c>
      <c r="D6" s="711" t="s">
        <v>491</v>
      </c>
      <c r="E6" s="262">
        <v>200</v>
      </c>
      <c r="F6" s="3">
        <v>40</v>
      </c>
      <c r="G6" s="262">
        <v>9677329961</v>
      </c>
      <c r="H6" s="701">
        <v>242668</v>
      </c>
      <c r="I6" s="702"/>
      <c r="J6" s="703">
        <f>H6-K6</f>
        <v>232668</v>
      </c>
      <c r="K6" s="704">
        <v>10000</v>
      </c>
      <c r="L6" s="705">
        <v>5056</v>
      </c>
      <c r="M6" s="441" t="s">
        <v>296</v>
      </c>
      <c r="N6" s="713"/>
      <c r="O6" s="262"/>
      <c r="P6" s="714"/>
      <c r="R6" s="713"/>
      <c r="S6" s="416"/>
      <c r="T6" s="713"/>
    </row>
    <row r="7" spans="1:67" s="343" customFormat="1">
      <c r="A7" s="262"/>
      <c r="B7" s="715"/>
      <c r="C7" s="710">
        <v>45351</v>
      </c>
      <c r="D7" s="711" t="s">
        <v>492</v>
      </c>
      <c r="E7" s="262">
        <v>200</v>
      </c>
      <c r="F7" s="3"/>
      <c r="G7" s="262">
        <v>9369608038</v>
      </c>
      <c r="H7" s="701">
        <v>242668</v>
      </c>
      <c r="I7" s="702"/>
      <c r="J7" s="703"/>
      <c r="K7" s="704">
        <v>10000</v>
      </c>
      <c r="L7" s="705">
        <v>5056</v>
      </c>
      <c r="M7" s="441" t="s">
        <v>296</v>
      </c>
      <c r="N7" s="713"/>
      <c r="O7" s="262"/>
      <c r="P7" s="714"/>
      <c r="R7" s="713"/>
      <c r="S7" s="416"/>
      <c r="T7" s="713"/>
    </row>
    <row r="8" spans="1:67" s="343" customFormat="1">
      <c r="A8" s="262"/>
      <c r="B8" s="262" t="s">
        <v>493</v>
      </c>
      <c r="C8" s="710">
        <v>45334</v>
      </c>
      <c r="D8" s="711" t="s">
        <v>494</v>
      </c>
      <c r="E8" s="262">
        <v>300</v>
      </c>
      <c r="F8" s="3">
        <v>45</v>
      </c>
      <c r="G8" s="262">
        <v>9956871861</v>
      </c>
      <c r="H8" s="701">
        <v>544400</v>
      </c>
      <c r="I8" s="702"/>
      <c r="J8" s="703"/>
      <c r="K8" s="704">
        <v>2000</v>
      </c>
      <c r="L8" s="208"/>
      <c r="M8" s="441" t="s">
        <v>175</v>
      </c>
      <c r="N8" s="713"/>
      <c r="O8" s="262"/>
      <c r="P8" s="714"/>
      <c r="R8" s="713"/>
      <c r="S8" s="416"/>
      <c r="T8" s="713"/>
    </row>
    <row r="9" spans="1:67">
      <c r="A9" s="19">
        <v>7</v>
      </c>
      <c r="B9" s="716" t="s">
        <v>495</v>
      </c>
      <c r="C9" s="710" t="s">
        <v>496</v>
      </c>
      <c r="D9" s="717" t="s">
        <v>497</v>
      </c>
      <c r="E9" s="3">
        <v>268</v>
      </c>
      <c r="F9" s="3">
        <v>50</v>
      </c>
      <c r="G9" s="19">
        <v>9677308332</v>
      </c>
      <c r="H9" s="701">
        <v>341703</v>
      </c>
      <c r="I9" s="702">
        <f>K9+O9+Q9+S9+U9</f>
        <v>65600</v>
      </c>
      <c r="J9" s="703">
        <f>H9-I9-O9-Q9-S9-U9-W9-Y9-AA9-AC9-AE9-AG9-AI9-AK9-AM9-AO9-AQ9-AS9-AU9-AW9-AY9-BA9-BC9-BE9-BG9-BI9-BK9-BM9</f>
        <v>0</v>
      </c>
      <c r="K9" s="704">
        <v>44600</v>
      </c>
      <c r="L9" s="705">
        <v>8375</v>
      </c>
      <c r="M9" s="441" t="s">
        <v>69</v>
      </c>
      <c r="N9" s="718">
        <v>44851</v>
      </c>
      <c r="O9" s="719">
        <v>5000</v>
      </c>
      <c r="P9" s="720">
        <v>44894</v>
      </c>
      <c r="Q9" s="313">
        <v>5000</v>
      </c>
      <c r="R9" s="718">
        <v>44984</v>
      </c>
      <c r="S9" s="313">
        <v>5000</v>
      </c>
      <c r="T9" s="718">
        <v>45015</v>
      </c>
      <c r="U9" s="313">
        <v>6000</v>
      </c>
      <c r="V9" s="244">
        <v>45077</v>
      </c>
      <c r="W9" s="314">
        <v>5000</v>
      </c>
      <c r="X9" s="244">
        <v>45136</v>
      </c>
      <c r="Y9" s="313">
        <v>7000</v>
      </c>
      <c r="Z9" s="244">
        <v>45183</v>
      </c>
      <c r="AA9" s="313">
        <v>7000</v>
      </c>
      <c r="AB9" s="244">
        <v>45345</v>
      </c>
      <c r="AC9" s="313">
        <v>15000</v>
      </c>
      <c r="AD9" s="244">
        <v>45374</v>
      </c>
      <c r="AE9" s="313">
        <v>7000</v>
      </c>
      <c r="AF9" s="244">
        <v>45432</v>
      </c>
      <c r="AG9" s="313">
        <v>12000</v>
      </c>
      <c r="AH9" s="244">
        <v>45472</v>
      </c>
      <c r="AI9" s="313">
        <v>10000</v>
      </c>
      <c r="AJ9" s="244">
        <v>45517</v>
      </c>
      <c r="AK9" s="313">
        <v>20000</v>
      </c>
      <c r="AL9" s="244">
        <v>45558</v>
      </c>
      <c r="AM9" s="313">
        <v>10000</v>
      </c>
      <c r="AN9" s="244">
        <v>45604</v>
      </c>
      <c r="AO9" s="313">
        <v>20000</v>
      </c>
      <c r="AP9" s="244">
        <v>45625</v>
      </c>
      <c r="AQ9" s="313">
        <v>10000</v>
      </c>
      <c r="AR9" s="244">
        <v>45687</v>
      </c>
      <c r="AS9" s="313">
        <v>10000</v>
      </c>
      <c r="AT9" s="244">
        <v>45701</v>
      </c>
      <c r="AU9" s="313">
        <v>10000</v>
      </c>
      <c r="AV9" s="244">
        <v>45741</v>
      </c>
      <c r="AW9" s="313">
        <v>10000</v>
      </c>
      <c r="AX9" s="244">
        <v>45770</v>
      </c>
      <c r="AY9" s="313">
        <v>10000</v>
      </c>
      <c r="AZ9" s="244">
        <v>45835</v>
      </c>
      <c r="BA9" s="313">
        <v>10000</v>
      </c>
      <c r="BB9" s="244">
        <v>45866</v>
      </c>
      <c r="BC9" s="313">
        <v>10000</v>
      </c>
      <c r="BD9" s="244">
        <v>45912</v>
      </c>
      <c r="BE9" s="313">
        <v>20000</v>
      </c>
      <c r="BF9" s="244">
        <v>45929</v>
      </c>
      <c r="BG9" s="313">
        <v>15000</v>
      </c>
      <c r="BH9" s="244">
        <v>45957</v>
      </c>
      <c r="BI9" s="313">
        <v>10000</v>
      </c>
      <c r="BJ9" s="244">
        <v>45981</v>
      </c>
      <c r="BK9" s="313">
        <v>10000</v>
      </c>
      <c r="BL9" s="244">
        <v>46044</v>
      </c>
      <c r="BM9" s="313">
        <v>17103</v>
      </c>
      <c r="BN9" s="851" t="s">
        <v>17</v>
      </c>
      <c r="BO9" s="321">
        <v>1500</v>
      </c>
    </row>
    <row r="10" spans="1:67">
      <c r="A10" s="19">
        <v>7</v>
      </c>
      <c r="B10" s="31" t="s">
        <v>25</v>
      </c>
      <c r="C10" s="710" t="s">
        <v>338</v>
      </c>
      <c r="D10" s="717" t="s">
        <v>498</v>
      </c>
      <c r="E10" s="3">
        <v>100</v>
      </c>
      <c r="F10" s="3">
        <v>86</v>
      </c>
      <c r="G10" s="19">
        <v>9353686150</v>
      </c>
      <c r="H10" s="701">
        <v>85000</v>
      </c>
      <c r="I10" s="702">
        <v>88750</v>
      </c>
      <c r="J10" s="703">
        <f>H10-I10</f>
        <v>-3750</v>
      </c>
      <c r="N10" s="721" t="s">
        <v>499</v>
      </c>
      <c r="O10" s="722">
        <v>500</v>
      </c>
      <c r="P10" s="720" t="s">
        <v>500</v>
      </c>
      <c r="Q10" s="723">
        <v>3750</v>
      </c>
      <c r="R10" s="718"/>
      <c r="T10" s="718"/>
      <c r="U10" s="318"/>
      <c r="V10" s="244"/>
      <c r="W10" s="318"/>
    </row>
    <row r="11" spans="1:67">
      <c r="B11" s="3"/>
      <c r="C11" s="710">
        <v>45404</v>
      </c>
      <c r="D11" s="711" t="s">
        <v>501</v>
      </c>
      <c r="E11" s="262">
        <v>100</v>
      </c>
      <c r="F11" s="262">
        <v>98</v>
      </c>
      <c r="H11" s="701">
        <v>110000</v>
      </c>
      <c r="L11" s="705">
        <v>3056</v>
      </c>
      <c r="M11" s="441" t="s">
        <v>69</v>
      </c>
      <c r="N11" s="718"/>
      <c r="O11" s="205"/>
      <c r="P11" s="720"/>
      <c r="Q11" s="723"/>
      <c r="R11" s="718"/>
      <c r="T11" s="718"/>
      <c r="U11" s="318"/>
      <c r="V11" s="244"/>
      <c r="W11" s="318"/>
    </row>
    <row r="12" spans="1:67">
      <c r="B12" s="3"/>
      <c r="C12" s="710">
        <v>45408</v>
      </c>
      <c r="D12" s="711" t="s">
        <v>502</v>
      </c>
      <c r="E12" s="3">
        <v>200</v>
      </c>
      <c r="F12" s="3">
        <v>66</v>
      </c>
      <c r="G12" s="19">
        <v>9173374425</v>
      </c>
      <c r="H12" s="701">
        <v>131920</v>
      </c>
      <c r="J12" s="703">
        <f>H12-K12</f>
        <v>0</v>
      </c>
      <c r="K12" s="704">
        <v>131920</v>
      </c>
      <c r="M12" s="441" t="s">
        <v>16</v>
      </c>
      <c r="N12" s="718"/>
      <c r="O12" s="205"/>
      <c r="P12" s="720"/>
      <c r="Q12" s="723"/>
      <c r="R12" s="718"/>
      <c r="T12" s="718"/>
      <c r="U12" s="318"/>
      <c r="V12" s="244"/>
      <c r="W12" s="318"/>
    </row>
    <row r="13" spans="1:67">
      <c r="B13" s="31" t="s">
        <v>25</v>
      </c>
      <c r="C13" s="710">
        <v>45331</v>
      </c>
      <c r="D13" s="711" t="s">
        <v>503</v>
      </c>
      <c r="E13" s="3">
        <v>200</v>
      </c>
      <c r="F13" s="3">
        <v>22</v>
      </c>
      <c r="G13" s="19">
        <v>9301509890</v>
      </c>
      <c r="H13" s="701">
        <v>288000</v>
      </c>
      <c r="J13" s="703">
        <f>H13-K13</f>
        <v>285680</v>
      </c>
      <c r="K13" s="704">
        <v>2320</v>
      </c>
      <c r="L13" s="705">
        <v>4000</v>
      </c>
      <c r="M13" s="441" t="s">
        <v>175</v>
      </c>
      <c r="N13" s="718"/>
      <c r="O13" s="205"/>
      <c r="P13" s="720"/>
      <c r="Q13" s="723"/>
      <c r="R13" s="718"/>
      <c r="T13" s="718"/>
      <c r="U13" s="318"/>
      <c r="V13" s="244"/>
      <c r="W13" s="318"/>
    </row>
    <row r="14" spans="1:67">
      <c r="A14" s="19">
        <v>7</v>
      </c>
      <c r="B14" s="147" t="s">
        <v>504</v>
      </c>
      <c r="C14" s="234">
        <v>44711</v>
      </c>
      <c r="D14" s="717" t="s">
        <v>505</v>
      </c>
      <c r="E14" s="3">
        <v>300</v>
      </c>
      <c r="F14" s="52">
        <v>131133135</v>
      </c>
      <c r="H14" s="701">
        <v>322798</v>
      </c>
      <c r="I14" s="702">
        <f>K14+O14+Q14</f>
        <v>13000</v>
      </c>
      <c r="J14" s="703">
        <f>H14-I14</f>
        <v>309798</v>
      </c>
      <c r="K14" s="704">
        <v>3000</v>
      </c>
      <c r="L14" s="705">
        <v>11556</v>
      </c>
      <c r="M14" s="441" t="s">
        <v>53</v>
      </c>
      <c r="N14" s="718">
        <v>44716</v>
      </c>
      <c r="O14" s="205">
        <v>5000</v>
      </c>
      <c r="P14" s="720">
        <v>45341</v>
      </c>
      <c r="Q14" s="318">
        <v>5000</v>
      </c>
    </row>
    <row r="15" spans="1:67">
      <c r="B15" s="31" t="s">
        <v>25</v>
      </c>
      <c r="C15" s="234">
        <v>45328</v>
      </c>
      <c r="D15" s="711" t="s">
        <v>506</v>
      </c>
      <c r="E15" s="3">
        <v>100</v>
      </c>
      <c r="F15" s="52">
        <v>102</v>
      </c>
      <c r="G15" s="19">
        <v>9652665684</v>
      </c>
      <c r="H15" s="701">
        <v>144000</v>
      </c>
      <c r="J15" s="703">
        <f>H15-O15</f>
        <v>142000</v>
      </c>
      <c r="L15" s="705">
        <v>2000</v>
      </c>
      <c r="M15" s="441" t="s">
        <v>175</v>
      </c>
      <c r="N15" s="720" t="s">
        <v>507</v>
      </c>
      <c r="O15" s="205">
        <v>2000</v>
      </c>
    </row>
    <row r="16" spans="1:67">
      <c r="B16" s="31" t="s">
        <v>25</v>
      </c>
      <c r="C16" s="234">
        <v>45406</v>
      </c>
      <c r="D16" s="711" t="s">
        <v>508</v>
      </c>
      <c r="E16" s="3">
        <v>200</v>
      </c>
      <c r="F16" s="52">
        <v>116</v>
      </c>
      <c r="G16" s="19">
        <v>9057771839</v>
      </c>
      <c r="H16" s="701">
        <v>288000</v>
      </c>
      <c r="M16" s="441" t="s">
        <v>175</v>
      </c>
      <c r="N16" s="718"/>
      <c r="O16" s="205"/>
    </row>
    <row r="17" spans="1:17">
      <c r="B17" s="147" t="s">
        <v>20</v>
      </c>
      <c r="C17" s="234">
        <v>45338</v>
      </c>
      <c r="D17" s="711" t="s">
        <v>509</v>
      </c>
      <c r="E17" s="3">
        <v>200</v>
      </c>
      <c r="F17" s="52">
        <v>45</v>
      </c>
      <c r="G17" s="19">
        <v>9556372904</v>
      </c>
      <c r="H17" s="701">
        <v>288000</v>
      </c>
      <c r="L17" s="705">
        <v>4000</v>
      </c>
      <c r="N17" s="718"/>
      <c r="O17" s="205"/>
    </row>
    <row r="18" spans="1:17">
      <c r="B18" s="3" t="s">
        <v>510</v>
      </c>
      <c r="C18" s="234">
        <v>45343</v>
      </c>
      <c r="D18" s="711" t="s">
        <v>511</v>
      </c>
      <c r="F18" s="52">
        <v>136138</v>
      </c>
      <c r="G18" s="19">
        <v>9554753315</v>
      </c>
      <c r="K18" s="704">
        <v>5000</v>
      </c>
      <c r="N18" s="718"/>
      <c r="O18" s="205"/>
    </row>
    <row r="19" spans="1:17">
      <c r="A19" s="19">
        <v>7</v>
      </c>
      <c r="B19" s="147" t="s">
        <v>504</v>
      </c>
      <c r="C19" s="234">
        <v>44702</v>
      </c>
      <c r="D19" s="711" t="s">
        <v>512</v>
      </c>
      <c r="E19" s="3">
        <v>100</v>
      </c>
      <c r="F19" s="3">
        <v>137</v>
      </c>
      <c r="G19" s="19">
        <v>9553165609</v>
      </c>
      <c r="H19" s="701">
        <v>180000</v>
      </c>
      <c r="I19" s="702">
        <f>O19+Q19</f>
        <v>5000</v>
      </c>
      <c r="J19" s="703">
        <f>H19-I19</f>
        <v>175000</v>
      </c>
      <c r="K19" s="704" t="s">
        <v>15</v>
      </c>
      <c r="L19" s="705">
        <v>3425</v>
      </c>
      <c r="M19" s="441" t="s">
        <v>425</v>
      </c>
      <c r="N19" s="718">
        <v>44702</v>
      </c>
      <c r="O19" s="571">
        <v>5000</v>
      </c>
    </row>
    <row r="20" spans="1:17">
      <c r="B20" s="724" t="s">
        <v>513</v>
      </c>
      <c r="C20" s="234">
        <v>45346</v>
      </c>
      <c r="D20" s="711" t="s">
        <v>514</v>
      </c>
      <c r="E20" s="3">
        <v>200</v>
      </c>
      <c r="F20" s="3" t="s">
        <v>515</v>
      </c>
      <c r="G20" s="19">
        <v>9553056162</v>
      </c>
      <c r="H20" s="701">
        <v>288000</v>
      </c>
      <c r="J20" s="703">
        <f>H20-K20</f>
        <v>286000</v>
      </c>
      <c r="K20" s="704">
        <v>2000</v>
      </c>
      <c r="L20" s="705">
        <v>4000</v>
      </c>
      <c r="M20" s="441" t="s">
        <v>175</v>
      </c>
      <c r="N20" s="718">
        <v>45351</v>
      </c>
      <c r="O20" s="205">
        <v>2000</v>
      </c>
    </row>
    <row r="21" spans="1:17">
      <c r="B21" s="3"/>
      <c r="C21" s="234">
        <v>45350</v>
      </c>
      <c r="D21" s="711" t="s">
        <v>516</v>
      </c>
      <c r="E21" s="3">
        <v>200</v>
      </c>
      <c r="F21" s="3">
        <v>36</v>
      </c>
      <c r="G21" s="19">
        <v>9647629881</v>
      </c>
      <c r="K21" s="704">
        <v>2000</v>
      </c>
      <c r="N21" s="718"/>
      <c r="O21" s="205"/>
    </row>
    <row r="22" spans="1:17" ht="14.25" customHeight="1">
      <c r="B22" s="623" t="s">
        <v>419</v>
      </c>
      <c r="C22" s="234">
        <v>45336</v>
      </c>
      <c r="D22" s="711" t="s">
        <v>517</v>
      </c>
      <c r="E22" s="3">
        <v>100</v>
      </c>
      <c r="F22" s="3">
        <v>77</v>
      </c>
      <c r="G22" s="19">
        <v>9679750869</v>
      </c>
      <c r="H22" s="701">
        <v>144000</v>
      </c>
      <c r="J22" s="703">
        <f>H22-K22-O22</f>
        <v>138000</v>
      </c>
      <c r="K22" s="704">
        <v>3000</v>
      </c>
      <c r="L22" s="705">
        <v>3000</v>
      </c>
      <c r="M22" s="441" t="s">
        <v>175</v>
      </c>
      <c r="N22" s="718">
        <v>45363</v>
      </c>
      <c r="O22" s="205">
        <v>3000</v>
      </c>
    </row>
    <row r="23" spans="1:17" ht="15.75" customHeight="1">
      <c r="B23" s="3"/>
      <c r="C23" s="234">
        <v>45355</v>
      </c>
      <c r="D23" s="711" t="s">
        <v>518</v>
      </c>
      <c r="E23" s="3">
        <v>200</v>
      </c>
      <c r="F23" s="3">
        <v>6</v>
      </c>
      <c r="G23" s="19">
        <v>9057769656</v>
      </c>
      <c r="H23" s="701">
        <v>353600</v>
      </c>
      <c r="J23" s="703">
        <f>H23-K23</f>
        <v>338600</v>
      </c>
      <c r="K23" s="704">
        <v>15000</v>
      </c>
      <c r="M23" s="441" t="s">
        <v>175</v>
      </c>
    </row>
    <row r="24" spans="1:17" ht="15.75" customHeight="1">
      <c r="B24" s="3" t="s">
        <v>519</v>
      </c>
      <c r="C24" s="234">
        <v>45343</v>
      </c>
      <c r="D24" s="711" t="s">
        <v>520</v>
      </c>
      <c r="E24" s="3">
        <v>100</v>
      </c>
      <c r="F24" s="3">
        <v>76</v>
      </c>
      <c r="G24" s="19">
        <v>9659928825</v>
      </c>
      <c r="H24" s="701">
        <v>110000</v>
      </c>
      <c r="L24" s="705">
        <v>3056</v>
      </c>
      <c r="M24" s="441" t="s">
        <v>69</v>
      </c>
    </row>
    <row r="25" spans="1:17">
      <c r="A25" s="19">
        <v>7</v>
      </c>
      <c r="B25" s="147" t="s">
        <v>504</v>
      </c>
      <c r="C25" s="234">
        <v>44715</v>
      </c>
      <c r="D25" s="717" t="s">
        <v>521</v>
      </c>
      <c r="E25" s="3">
        <v>300</v>
      </c>
      <c r="F25" s="52">
        <v>125127129</v>
      </c>
      <c r="G25" s="19">
        <v>9068911747</v>
      </c>
      <c r="H25" s="701">
        <v>488988</v>
      </c>
      <c r="I25" s="702">
        <f>K25+O25</f>
        <v>5000</v>
      </c>
      <c r="J25" s="703">
        <f>H25-I25</f>
        <v>483988</v>
      </c>
      <c r="K25" s="704">
        <v>5000</v>
      </c>
      <c r="L25" s="705">
        <v>6154</v>
      </c>
      <c r="M25" s="441" t="s">
        <v>175</v>
      </c>
    </row>
    <row r="26" spans="1:17">
      <c r="B26" s="31" t="s">
        <v>25</v>
      </c>
      <c r="C26" s="234">
        <v>45386</v>
      </c>
      <c r="D26" s="711" t="s">
        <v>522</v>
      </c>
      <c r="E26" s="3">
        <v>200</v>
      </c>
      <c r="F26" s="52">
        <v>112</v>
      </c>
      <c r="G26" s="19">
        <v>9301126943</v>
      </c>
      <c r="H26" s="701">
        <v>288000</v>
      </c>
      <c r="L26" s="705">
        <v>4000</v>
      </c>
      <c r="M26" s="441" t="s">
        <v>175</v>
      </c>
    </row>
    <row r="27" spans="1:17">
      <c r="B27" s="3" t="s">
        <v>510</v>
      </c>
      <c r="C27" s="234">
        <v>45350</v>
      </c>
      <c r="D27" s="711" t="s">
        <v>523</v>
      </c>
      <c r="E27" s="3">
        <v>374</v>
      </c>
      <c r="F27" s="52">
        <v>49</v>
      </c>
      <c r="G27" s="19">
        <v>9554259424</v>
      </c>
      <c r="H27" s="701">
        <v>329120</v>
      </c>
      <c r="J27" s="703">
        <f>H27-K27</f>
        <v>229120</v>
      </c>
      <c r="K27" s="704">
        <v>100000</v>
      </c>
      <c r="M27" s="441" t="s">
        <v>175</v>
      </c>
    </row>
    <row r="28" spans="1:17">
      <c r="B28" s="31" t="s">
        <v>25</v>
      </c>
      <c r="C28" s="234">
        <v>45331</v>
      </c>
      <c r="D28" s="711" t="s">
        <v>524</v>
      </c>
      <c r="E28" s="725" t="s">
        <v>525</v>
      </c>
      <c r="F28" s="52" t="s">
        <v>526</v>
      </c>
      <c r="G28" s="19">
        <v>9358997124</v>
      </c>
      <c r="H28" s="701">
        <v>501212</v>
      </c>
      <c r="J28" s="703">
        <f>H28-K28-O28-Q28</f>
        <v>459440</v>
      </c>
      <c r="K28" s="704">
        <v>13924</v>
      </c>
      <c r="L28" s="705">
        <v>13924</v>
      </c>
      <c r="M28" s="441" t="s">
        <v>69</v>
      </c>
      <c r="N28" s="718">
        <v>45348</v>
      </c>
      <c r="O28" s="205">
        <v>13924</v>
      </c>
      <c r="P28" s="720">
        <v>45366</v>
      </c>
      <c r="Q28" s="318">
        <v>13924</v>
      </c>
    </row>
    <row r="29" spans="1:17">
      <c r="B29" s="3"/>
      <c r="C29" s="234">
        <v>45334</v>
      </c>
      <c r="D29" s="711" t="s">
        <v>527</v>
      </c>
      <c r="E29" s="3">
        <v>100</v>
      </c>
      <c r="F29" s="52">
        <v>67</v>
      </c>
      <c r="H29" s="701">
        <v>144000</v>
      </c>
      <c r="J29" s="703">
        <f>H29-K29</f>
        <v>142000</v>
      </c>
      <c r="K29" s="704">
        <v>2000</v>
      </c>
      <c r="L29" s="705">
        <v>2000</v>
      </c>
      <c r="M29" s="441" t="s">
        <v>175</v>
      </c>
    </row>
    <row r="30" spans="1:17">
      <c r="B30" s="3"/>
      <c r="C30" s="234">
        <v>45352</v>
      </c>
      <c r="D30" s="711" t="s">
        <v>528</v>
      </c>
      <c r="E30" s="3">
        <v>100</v>
      </c>
      <c r="F30" s="726">
        <v>75</v>
      </c>
      <c r="G30" s="19">
        <v>9976219791</v>
      </c>
      <c r="H30" s="701">
        <v>132668</v>
      </c>
      <c r="L30" s="705">
        <v>2211</v>
      </c>
      <c r="M30" s="441" t="s">
        <v>133</v>
      </c>
    </row>
    <row r="31" spans="1:17">
      <c r="B31" s="3"/>
      <c r="C31" s="234"/>
      <c r="D31" s="711" t="s">
        <v>529</v>
      </c>
      <c r="E31" s="3">
        <v>100</v>
      </c>
      <c r="F31" s="726">
        <v>132</v>
      </c>
      <c r="G31" s="19">
        <v>9301122792</v>
      </c>
      <c r="H31" s="701">
        <v>144000</v>
      </c>
      <c r="L31" s="705">
        <v>2000</v>
      </c>
      <c r="M31" s="441" t="s">
        <v>175</v>
      </c>
    </row>
    <row r="32" spans="1:17">
      <c r="B32" s="3"/>
      <c r="C32" s="234">
        <v>45339</v>
      </c>
      <c r="D32" s="711" t="s">
        <v>530</v>
      </c>
      <c r="E32" s="3">
        <v>100</v>
      </c>
      <c r="F32" s="52">
        <v>137</v>
      </c>
      <c r="G32" s="19">
        <v>9269244843</v>
      </c>
      <c r="H32" s="701">
        <v>144000</v>
      </c>
      <c r="J32" s="703">
        <f>H32-K32</f>
        <v>142000</v>
      </c>
      <c r="K32" s="704">
        <v>2000</v>
      </c>
      <c r="L32" s="705">
        <v>2000</v>
      </c>
      <c r="M32" s="441" t="s">
        <v>175</v>
      </c>
    </row>
    <row r="33" spans="1:15">
      <c r="B33" s="3"/>
      <c r="C33" s="234">
        <v>45351</v>
      </c>
      <c r="D33" s="711" t="s">
        <v>531</v>
      </c>
      <c r="E33" s="3">
        <v>100</v>
      </c>
      <c r="F33" s="52">
        <v>93</v>
      </c>
      <c r="G33" s="19">
        <v>9754480233</v>
      </c>
      <c r="H33" s="701">
        <v>144000</v>
      </c>
      <c r="J33" s="703">
        <f>H33-K33-O33</f>
        <v>140000</v>
      </c>
      <c r="K33" s="704">
        <v>2000</v>
      </c>
      <c r="L33" s="705">
        <v>2000</v>
      </c>
      <c r="M33" s="441" t="s">
        <v>175</v>
      </c>
      <c r="N33" s="718">
        <v>45383</v>
      </c>
      <c r="O33" s="205">
        <v>2000</v>
      </c>
    </row>
    <row r="34" spans="1:15">
      <c r="B34" s="3"/>
      <c r="C34" s="234">
        <v>45341</v>
      </c>
      <c r="D34" s="711" t="s">
        <v>532</v>
      </c>
      <c r="E34" s="3">
        <v>200</v>
      </c>
      <c r="F34" s="52">
        <v>11</v>
      </c>
      <c r="G34" s="19">
        <v>9092923448</v>
      </c>
      <c r="H34" s="701">
        <v>176000</v>
      </c>
      <c r="J34" s="703">
        <f t="shared" ref="J34:J40" si="0">H34-K34</f>
        <v>161000</v>
      </c>
      <c r="K34" s="704">
        <v>15000</v>
      </c>
      <c r="M34" s="727" t="s">
        <v>533</v>
      </c>
    </row>
    <row r="35" spans="1:15">
      <c r="B35" s="31" t="s">
        <v>25</v>
      </c>
      <c r="C35" s="234">
        <v>45349</v>
      </c>
      <c r="D35" s="711" t="s">
        <v>534</v>
      </c>
      <c r="E35" s="3">
        <v>100</v>
      </c>
      <c r="F35" s="52">
        <v>111</v>
      </c>
      <c r="G35" s="19">
        <v>9129964103</v>
      </c>
      <c r="H35" s="701">
        <v>121334</v>
      </c>
      <c r="J35" s="703">
        <f t="shared" si="0"/>
        <v>111334</v>
      </c>
      <c r="K35" s="704">
        <v>10000</v>
      </c>
      <c r="L35" s="705">
        <v>2528</v>
      </c>
      <c r="M35" s="441" t="s">
        <v>296</v>
      </c>
    </row>
    <row r="36" spans="1:15">
      <c r="B36" s="3"/>
      <c r="C36" s="234">
        <v>45339</v>
      </c>
      <c r="D36" s="711" t="s">
        <v>535</v>
      </c>
      <c r="E36" s="3">
        <v>100</v>
      </c>
      <c r="F36" s="52">
        <v>74</v>
      </c>
      <c r="G36" s="19">
        <v>9656807716</v>
      </c>
      <c r="H36" s="701">
        <v>132668</v>
      </c>
      <c r="J36" s="703">
        <f t="shared" si="0"/>
        <v>130458</v>
      </c>
      <c r="K36" s="704">
        <v>2210</v>
      </c>
      <c r="L36" s="705">
        <v>2211</v>
      </c>
      <c r="M36" s="441" t="s">
        <v>133</v>
      </c>
    </row>
    <row r="37" spans="1:15">
      <c r="B37" s="3" t="s">
        <v>253</v>
      </c>
      <c r="C37" s="644" t="s">
        <v>536</v>
      </c>
      <c r="D37" s="717" t="s">
        <v>537</v>
      </c>
      <c r="E37" s="3">
        <v>200</v>
      </c>
      <c r="F37" s="52">
        <v>10</v>
      </c>
      <c r="H37" s="701">
        <v>175000</v>
      </c>
      <c r="I37" s="702">
        <v>175000</v>
      </c>
      <c r="J37" s="703">
        <f>H37-I37</f>
        <v>0</v>
      </c>
    </row>
    <row r="38" spans="1:15">
      <c r="B38" s="584" t="s">
        <v>538</v>
      </c>
      <c r="C38" s="234">
        <v>45352</v>
      </c>
      <c r="D38" s="711" t="s">
        <v>539</v>
      </c>
      <c r="E38" s="3">
        <v>100</v>
      </c>
      <c r="F38" s="52">
        <v>99</v>
      </c>
      <c r="G38" s="19">
        <v>9674694575</v>
      </c>
      <c r="H38" s="701">
        <v>144000</v>
      </c>
      <c r="J38" s="703">
        <f t="shared" si="0"/>
        <v>142000</v>
      </c>
      <c r="K38" s="704">
        <v>2000</v>
      </c>
      <c r="L38" s="705">
        <v>2000</v>
      </c>
      <c r="M38" s="441" t="s">
        <v>175</v>
      </c>
    </row>
    <row r="39" spans="1:15">
      <c r="B39" s="728" t="s">
        <v>419</v>
      </c>
      <c r="C39" s="234">
        <v>45394</v>
      </c>
      <c r="D39" s="717" t="s">
        <v>540</v>
      </c>
      <c r="E39" s="3">
        <v>100</v>
      </c>
      <c r="F39" s="52">
        <v>134</v>
      </c>
      <c r="G39" s="19">
        <v>9262742970</v>
      </c>
    </row>
    <row r="40" spans="1:15">
      <c r="B40" s="31" t="s">
        <v>25</v>
      </c>
      <c r="C40" s="234">
        <v>45351</v>
      </c>
      <c r="D40" s="711" t="s">
        <v>541</v>
      </c>
      <c r="E40" s="3">
        <v>200</v>
      </c>
      <c r="F40" s="52">
        <v>38</v>
      </c>
      <c r="G40" s="19">
        <v>9056669869</v>
      </c>
      <c r="H40" s="701">
        <v>242668</v>
      </c>
      <c r="J40" s="703">
        <f t="shared" si="0"/>
        <v>237668</v>
      </c>
      <c r="K40" s="704">
        <v>5000</v>
      </c>
      <c r="L40" s="705">
        <v>5056</v>
      </c>
      <c r="M40" s="441" t="s">
        <v>296</v>
      </c>
    </row>
    <row r="41" spans="1:15">
      <c r="A41" s="19">
        <v>7</v>
      </c>
      <c r="B41" s="147" t="s">
        <v>20</v>
      </c>
      <c r="C41" s="234">
        <v>44970</v>
      </c>
      <c r="D41" s="717" t="s">
        <v>542</v>
      </c>
      <c r="E41" s="3">
        <v>200</v>
      </c>
      <c r="F41" s="3">
        <v>28</v>
      </c>
      <c r="G41" s="19">
        <v>9758357914</v>
      </c>
      <c r="H41" s="701">
        <v>360000</v>
      </c>
      <c r="I41" s="702">
        <v>5000</v>
      </c>
      <c r="J41" s="703">
        <f>H41-I41</f>
        <v>355000</v>
      </c>
      <c r="K41" s="704">
        <v>5000</v>
      </c>
      <c r="L41" s="705">
        <v>5000</v>
      </c>
      <c r="M41" s="441" t="s">
        <v>175</v>
      </c>
    </row>
    <row r="42" spans="1:15">
      <c r="B42" s="3"/>
      <c r="C42" s="234">
        <v>45339</v>
      </c>
      <c r="D42" s="711" t="s">
        <v>543</v>
      </c>
      <c r="E42" s="3">
        <v>200</v>
      </c>
      <c r="F42" s="3" t="s">
        <v>544</v>
      </c>
      <c r="G42" s="19">
        <v>9124172590</v>
      </c>
      <c r="H42" s="701">
        <v>288000</v>
      </c>
      <c r="J42" s="703">
        <f>H42-K42-O42</f>
        <v>280000</v>
      </c>
      <c r="K42" s="704">
        <v>4000</v>
      </c>
      <c r="L42" s="705">
        <v>4000</v>
      </c>
      <c r="M42" s="441" t="s">
        <v>175</v>
      </c>
      <c r="N42" s="718">
        <v>45368</v>
      </c>
      <c r="O42" s="205">
        <v>4000</v>
      </c>
    </row>
    <row r="43" spans="1:15">
      <c r="B43" s="31" t="s">
        <v>25</v>
      </c>
      <c r="C43" s="234">
        <v>45350</v>
      </c>
      <c r="D43" s="711" t="s">
        <v>545</v>
      </c>
      <c r="E43" s="3">
        <v>200</v>
      </c>
      <c r="F43" s="3">
        <v>59</v>
      </c>
      <c r="G43" s="19">
        <v>9647629881</v>
      </c>
      <c r="H43" s="701">
        <v>288000</v>
      </c>
      <c r="J43" s="703">
        <f>H43-K43</f>
        <v>285300</v>
      </c>
      <c r="K43" s="704">
        <v>2700</v>
      </c>
      <c r="L43" s="705">
        <v>4000</v>
      </c>
      <c r="M43" s="441" t="s">
        <v>175</v>
      </c>
    </row>
    <row r="44" spans="1:15">
      <c r="B44" s="3"/>
      <c r="C44" s="234">
        <v>45370</v>
      </c>
      <c r="D44" s="711" t="s">
        <v>546</v>
      </c>
      <c r="E44" s="3">
        <v>100</v>
      </c>
      <c r="F44" s="3">
        <v>130</v>
      </c>
      <c r="G44" s="19">
        <v>9675718933</v>
      </c>
      <c r="H44" s="701">
        <v>110000</v>
      </c>
      <c r="L44" s="705">
        <v>3056</v>
      </c>
      <c r="M44" s="441" t="s">
        <v>69</v>
      </c>
    </row>
    <row r="45" spans="1:15">
      <c r="B45" s="3"/>
      <c r="C45" s="234">
        <v>45358</v>
      </c>
      <c r="D45" s="711" t="s">
        <v>547</v>
      </c>
      <c r="E45" s="3">
        <v>100</v>
      </c>
      <c r="F45" s="3">
        <v>100</v>
      </c>
      <c r="G45" s="19">
        <v>9486071899</v>
      </c>
      <c r="H45" s="701">
        <v>144000</v>
      </c>
      <c r="L45" s="705">
        <v>2000</v>
      </c>
      <c r="M45" s="441" t="s">
        <v>175</v>
      </c>
    </row>
    <row r="46" spans="1:15">
      <c r="A46" s="888"/>
      <c r="B46" s="3"/>
      <c r="C46" s="234">
        <v>45580</v>
      </c>
      <c r="D46" s="890" t="s">
        <v>704</v>
      </c>
      <c r="E46" s="3">
        <v>100</v>
      </c>
      <c r="G46" s="888"/>
      <c r="I46" s="702">
        <v>3000</v>
      </c>
      <c r="M46" s="887"/>
      <c r="O46" s="888"/>
    </row>
    <row r="47" spans="1:15">
      <c r="B47" s="3"/>
      <c r="C47" s="234">
        <v>45341</v>
      </c>
      <c r="D47" s="711" t="s">
        <v>548</v>
      </c>
      <c r="E47" s="3">
        <v>300</v>
      </c>
      <c r="F47" s="3">
        <v>47</v>
      </c>
      <c r="G47" s="19">
        <v>9187186847</v>
      </c>
      <c r="H47" s="701">
        <v>530400</v>
      </c>
      <c r="J47" s="703">
        <f>H47-K47</f>
        <v>462400</v>
      </c>
      <c r="K47" s="704">
        <v>68000</v>
      </c>
      <c r="L47" s="705">
        <v>7368</v>
      </c>
      <c r="M47" s="441" t="s">
        <v>175</v>
      </c>
      <c r="N47" s="718"/>
      <c r="O47" s="205"/>
    </row>
    <row r="48" spans="1:15">
      <c r="B48" s="3"/>
      <c r="C48" s="234">
        <v>45386</v>
      </c>
      <c r="D48" s="711" t="s">
        <v>549</v>
      </c>
      <c r="E48" s="3">
        <v>400</v>
      </c>
      <c r="F48" s="262" t="s">
        <v>550</v>
      </c>
      <c r="G48" s="19">
        <v>9552518790</v>
      </c>
      <c r="H48" s="701">
        <v>394672</v>
      </c>
      <c r="L48" s="705">
        <v>8222</v>
      </c>
      <c r="M48" s="441" t="s">
        <v>53</v>
      </c>
      <c r="N48" s="718"/>
      <c r="O48" s="205"/>
    </row>
    <row r="49" spans="1:49">
      <c r="A49" s="262">
        <v>7</v>
      </c>
      <c r="B49" s="31" t="s">
        <v>25</v>
      </c>
      <c r="C49" s="234">
        <v>44777</v>
      </c>
      <c r="D49" s="717" t="s">
        <v>551</v>
      </c>
      <c r="E49" s="3">
        <v>200</v>
      </c>
      <c r="F49" s="3">
        <v>48</v>
      </c>
      <c r="G49" s="19">
        <v>9099446059</v>
      </c>
      <c r="H49" s="701">
        <v>226668</v>
      </c>
      <c r="I49" s="702">
        <f>K49+O49+Q49+S49</f>
        <v>39000</v>
      </c>
      <c r="J49" s="703">
        <f>H49-I49-O49-Q49-S49-U49-W49-Y49-AA49-AC49-AE49-AG49-AI49-AK49-AM49-AO49-AQ49-AS49-AU49</f>
        <v>0</v>
      </c>
      <c r="K49" s="704">
        <v>15000</v>
      </c>
      <c r="L49" s="705">
        <v>6250</v>
      </c>
      <c r="M49" s="441" t="s">
        <v>53</v>
      </c>
      <c r="N49" s="718">
        <v>44804</v>
      </c>
      <c r="O49" s="729">
        <v>10000</v>
      </c>
      <c r="P49" s="720">
        <v>44825</v>
      </c>
      <c r="Q49" s="730">
        <v>10000</v>
      </c>
      <c r="R49" s="718">
        <v>44867</v>
      </c>
      <c r="S49" s="730">
        <v>4000</v>
      </c>
      <c r="T49" s="718">
        <v>44915</v>
      </c>
      <c r="U49" s="730">
        <v>10000</v>
      </c>
      <c r="V49" t="s">
        <v>552</v>
      </c>
      <c r="W49" s="730">
        <v>11000</v>
      </c>
      <c r="X49" s="244">
        <v>45001</v>
      </c>
      <c r="Y49" s="730">
        <v>7000</v>
      </c>
      <c r="Z49" s="244">
        <v>45020</v>
      </c>
      <c r="AA49" s="730">
        <v>13000</v>
      </c>
      <c r="AB49" s="244">
        <v>45061</v>
      </c>
      <c r="AC49" s="730">
        <v>5000</v>
      </c>
      <c r="AD49" s="244">
        <v>45090</v>
      </c>
      <c r="AE49" s="730">
        <v>5000</v>
      </c>
      <c r="AF49" s="244">
        <v>45140</v>
      </c>
      <c r="AG49" s="730">
        <v>5000</v>
      </c>
      <c r="AH49" s="244">
        <v>45204</v>
      </c>
      <c r="AI49" s="730">
        <v>25000</v>
      </c>
      <c r="AJ49" s="244">
        <v>45299</v>
      </c>
      <c r="AK49" s="730">
        <v>10000</v>
      </c>
      <c r="AL49" s="244">
        <v>45316</v>
      </c>
      <c r="AM49" s="730">
        <v>20000</v>
      </c>
      <c r="AN49" s="244">
        <v>45358</v>
      </c>
      <c r="AO49" s="730">
        <v>10000</v>
      </c>
      <c r="AP49" s="244">
        <v>45418</v>
      </c>
      <c r="AQ49" s="730">
        <v>10000</v>
      </c>
      <c r="AR49" s="244">
        <v>45436</v>
      </c>
      <c r="AS49" s="730">
        <v>20000</v>
      </c>
      <c r="AT49" s="244">
        <v>45495</v>
      </c>
      <c r="AU49" s="730">
        <v>12668</v>
      </c>
      <c r="AV49" s="731" t="s">
        <v>17</v>
      </c>
      <c r="AW49" s="321">
        <v>1000</v>
      </c>
    </row>
    <row r="50" spans="1:49">
      <c r="A50" s="262"/>
      <c r="B50" s="584" t="s">
        <v>553</v>
      </c>
      <c r="C50" s="234">
        <v>45346</v>
      </c>
      <c r="D50" s="711" t="s">
        <v>554</v>
      </c>
      <c r="E50" s="3">
        <v>100</v>
      </c>
      <c r="F50" s="3">
        <v>81</v>
      </c>
      <c r="G50" s="19">
        <v>9918269145</v>
      </c>
      <c r="H50" s="701">
        <v>132668</v>
      </c>
      <c r="J50" s="703">
        <f>H50-K50</f>
        <v>130457</v>
      </c>
      <c r="K50" s="704">
        <v>2211</v>
      </c>
      <c r="L50" s="705">
        <v>2211</v>
      </c>
      <c r="M50" s="441" t="s">
        <v>133</v>
      </c>
      <c r="N50" s="718"/>
      <c r="O50" s="205"/>
      <c r="P50" s="720"/>
      <c r="Q50" s="318"/>
      <c r="R50" s="718"/>
      <c r="T50" s="718"/>
      <c r="U50" s="318"/>
      <c r="W50" s="318"/>
      <c r="X50" s="244"/>
      <c r="Y50" s="318"/>
      <c r="Z50" s="244"/>
      <c r="AA50" s="318"/>
      <c r="AB50" s="244"/>
      <c r="AC50" s="318"/>
      <c r="AD50" s="244"/>
      <c r="AE50" s="318"/>
      <c r="AF50" s="244"/>
      <c r="AG50" s="318"/>
      <c r="AH50" s="244"/>
      <c r="AI50" s="318"/>
      <c r="AJ50" s="244"/>
      <c r="AK50" s="318"/>
      <c r="AL50" s="244"/>
      <c r="AM50" s="318"/>
      <c r="AN50" s="244"/>
      <c r="AO50" s="318"/>
    </row>
    <row r="51" spans="1:49">
      <c r="A51" s="262"/>
      <c r="B51" s="3"/>
      <c r="C51" s="234">
        <v>45343</v>
      </c>
      <c r="D51" s="711" t="s">
        <v>555</v>
      </c>
      <c r="E51" s="3">
        <v>200</v>
      </c>
      <c r="F51" s="3">
        <v>59</v>
      </c>
      <c r="G51" s="19">
        <v>9705393969</v>
      </c>
      <c r="H51" s="701">
        <v>288000</v>
      </c>
      <c r="J51" s="703">
        <f>H51-K51</f>
        <v>285500</v>
      </c>
      <c r="K51" s="704">
        <v>2500</v>
      </c>
      <c r="L51" s="705">
        <v>4000</v>
      </c>
      <c r="M51" s="441" t="s">
        <v>175</v>
      </c>
      <c r="N51" s="718"/>
      <c r="O51" s="205"/>
      <c r="P51" s="720"/>
      <c r="Q51" s="318"/>
      <c r="R51" s="718"/>
      <c r="T51" s="718"/>
      <c r="U51" s="318"/>
      <c r="W51" s="318"/>
      <c r="X51" s="244"/>
      <c r="Y51" s="318"/>
      <c r="Z51" s="244"/>
      <c r="AA51" s="318"/>
      <c r="AB51" s="244"/>
      <c r="AC51" s="318"/>
      <c r="AD51" s="244"/>
      <c r="AE51" s="318"/>
      <c r="AF51" s="244"/>
      <c r="AG51" s="318"/>
      <c r="AH51" s="244"/>
      <c r="AI51" s="318"/>
      <c r="AJ51" s="244"/>
      <c r="AK51" s="318"/>
      <c r="AL51" s="244"/>
      <c r="AM51" s="318"/>
      <c r="AN51" s="244"/>
      <c r="AO51" s="318"/>
    </row>
    <row r="52" spans="1:49">
      <c r="A52" s="262"/>
      <c r="B52" s="584" t="s">
        <v>538</v>
      </c>
      <c r="C52" s="234">
        <v>45346</v>
      </c>
      <c r="D52" s="711" t="s">
        <v>556</v>
      </c>
      <c r="E52" s="3">
        <v>100</v>
      </c>
      <c r="F52" s="3">
        <v>79</v>
      </c>
      <c r="G52" s="19">
        <v>9918269145</v>
      </c>
      <c r="H52" s="701">
        <v>110000</v>
      </c>
      <c r="J52" s="703">
        <f>H52-K52</f>
        <v>104000</v>
      </c>
      <c r="K52" s="704">
        <v>6000</v>
      </c>
      <c r="L52" s="705">
        <v>3056</v>
      </c>
      <c r="M52" s="441" t="s">
        <v>69</v>
      </c>
      <c r="N52" s="718"/>
      <c r="O52" s="205"/>
      <c r="P52" s="720"/>
      <c r="Q52" s="318"/>
      <c r="R52" s="718"/>
      <c r="T52" s="718"/>
      <c r="U52" s="318"/>
      <c r="W52" s="318"/>
      <c r="X52" s="244"/>
      <c r="Y52" s="318"/>
      <c r="Z52" s="244"/>
      <c r="AA52" s="318"/>
      <c r="AB52" s="244"/>
      <c r="AC52" s="318"/>
      <c r="AD52" s="244"/>
      <c r="AE52" s="318"/>
      <c r="AF52" s="244"/>
      <c r="AG52" s="318"/>
      <c r="AH52" s="244"/>
      <c r="AI52" s="318"/>
      <c r="AJ52" s="244"/>
      <c r="AK52" s="318"/>
      <c r="AL52" s="244"/>
      <c r="AM52" s="318"/>
      <c r="AN52" s="244"/>
      <c r="AO52" s="318"/>
    </row>
    <row r="53" spans="1:49">
      <c r="A53" s="262"/>
      <c r="B53" s="31" t="s">
        <v>25</v>
      </c>
      <c r="C53" s="234">
        <v>45351</v>
      </c>
      <c r="D53" s="711" t="s">
        <v>557</v>
      </c>
      <c r="E53" s="3">
        <v>100</v>
      </c>
      <c r="F53" s="3">
        <v>91</v>
      </c>
      <c r="G53" s="19">
        <v>9750356493</v>
      </c>
      <c r="H53" s="701">
        <v>144000</v>
      </c>
      <c r="J53" s="703">
        <f>H53-K53-O53</f>
        <v>140000</v>
      </c>
      <c r="K53" s="704">
        <v>2000</v>
      </c>
      <c r="L53" s="705">
        <v>2000</v>
      </c>
      <c r="M53" s="441" t="s">
        <v>175</v>
      </c>
      <c r="N53" s="718">
        <v>45383</v>
      </c>
      <c r="O53" s="205">
        <v>2000</v>
      </c>
      <c r="P53" s="720"/>
      <c r="Q53" s="318"/>
      <c r="R53" s="718"/>
      <c r="T53" s="718"/>
      <c r="U53" s="318"/>
      <c r="W53" s="318"/>
      <c r="X53" s="244"/>
      <c r="Y53" s="318"/>
      <c r="Z53" s="244"/>
      <c r="AA53" s="318"/>
      <c r="AB53" s="244"/>
      <c r="AC53" s="318"/>
      <c r="AD53" s="244"/>
      <c r="AE53" s="318"/>
      <c r="AF53" s="244"/>
      <c r="AG53" s="318"/>
      <c r="AH53" s="244"/>
      <c r="AI53" s="318"/>
      <c r="AJ53" s="244"/>
      <c r="AK53" s="318"/>
      <c r="AL53" s="244"/>
      <c r="AM53" s="318"/>
      <c r="AN53" s="244"/>
      <c r="AO53" s="318"/>
    </row>
    <row r="54" spans="1:49">
      <c r="A54" s="262"/>
      <c r="B54" s="3"/>
      <c r="C54" s="234">
        <v>45335</v>
      </c>
      <c r="D54" s="711" t="s">
        <v>558</v>
      </c>
      <c r="E54" s="3">
        <v>200</v>
      </c>
      <c r="F54" s="3">
        <v>4</v>
      </c>
      <c r="G54" s="19">
        <v>9500225753</v>
      </c>
      <c r="H54" s="701">
        <v>288000</v>
      </c>
      <c r="J54" s="703">
        <f>H54-K54-O54</f>
        <v>280000</v>
      </c>
      <c r="K54" s="704">
        <v>4000</v>
      </c>
      <c r="L54" s="705">
        <v>4000</v>
      </c>
      <c r="M54" s="441" t="s">
        <v>175</v>
      </c>
      <c r="N54" s="718">
        <v>45364</v>
      </c>
      <c r="O54" s="205">
        <v>4000</v>
      </c>
      <c r="P54" s="720"/>
      <c r="Q54" s="318"/>
      <c r="R54" s="718"/>
      <c r="T54" s="718"/>
      <c r="U54" s="318"/>
      <c r="W54" s="318"/>
      <c r="X54" s="244"/>
      <c r="Y54" s="318"/>
      <c r="Z54" s="244"/>
      <c r="AA54" s="318"/>
      <c r="AB54" s="244"/>
      <c r="AC54" s="318"/>
      <c r="AD54" s="244"/>
      <c r="AE54" s="318"/>
      <c r="AF54" s="244"/>
      <c r="AG54" s="318"/>
      <c r="AH54" s="244"/>
      <c r="AI54" s="318"/>
      <c r="AJ54" s="244"/>
      <c r="AK54" s="318"/>
      <c r="AL54" s="244"/>
      <c r="AM54" s="318"/>
    </row>
    <row r="55" spans="1:49">
      <c r="A55" s="19">
        <v>7</v>
      </c>
      <c r="B55" s="732" t="s">
        <v>559</v>
      </c>
      <c r="C55" s="234">
        <v>44699</v>
      </c>
      <c r="D55" s="711" t="s">
        <v>560</v>
      </c>
      <c r="E55" s="3">
        <v>200</v>
      </c>
      <c r="F55" s="3">
        <v>66</v>
      </c>
      <c r="H55" s="701">
        <v>340200</v>
      </c>
      <c r="I55" s="702">
        <f>O55+Q55+S55+U55+W55</f>
        <v>18910</v>
      </c>
      <c r="J55" s="703">
        <f>H55-I55</f>
        <v>321290</v>
      </c>
      <c r="K55" s="704" t="s">
        <v>15</v>
      </c>
      <c r="L55" s="705">
        <v>4725</v>
      </c>
      <c r="M55" s="441" t="s">
        <v>425</v>
      </c>
      <c r="N55" s="718">
        <v>44702</v>
      </c>
      <c r="O55" s="413">
        <v>4725</v>
      </c>
      <c r="P55" s="720">
        <v>44781</v>
      </c>
      <c r="Q55" s="733">
        <v>4725</v>
      </c>
      <c r="R55" s="718">
        <v>44814</v>
      </c>
      <c r="S55" s="733">
        <v>4730</v>
      </c>
      <c r="T55" s="718">
        <v>44901</v>
      </c>
      <c r="U55" s="733">
        <v>4730</v>
      </c>
    </row>
    <row r="56" spans="1:49">
      <c r="B56" s="725"/>
      <c r="C56" s="234">
        <v>45349</v>
      </c>
      <c r="D56" s="711" t="s">
        <v>561</v>
      </c>
      <c r="E56" s="3">
        <v>200</v>
      </c>
      <c r="F56" s="52">
        <v>113115</v>
      </c>
      <c r="G56" s="19">
        <v>9357555083</v>
      </c>
      <c r="H56" s="701">
        <v>288000</v>
      </c>
      <c r="J56" s="703">
        <f>H56-K56</f>
        <v>286000</v>
      </c>
      <c r="K56" s="704">
        <v>2000</v>
      </c>
      <c r="L56" s="705">
        <v>4000</v>
      </c>
      <c r="M56" s="441" t="s">
        <v>175</v>
      </c>
      <c r="N56" s="718"/>
      <c r="O56" s="205"/>
      <c r="P56" s="720"/>
      <c r="Q56" s="318"/>
      <c r="R56" s="718"/>
      <c r="T56" s="718"/>
      <c r="U56" s="318"/>
    </row>
    <row r="57" spans="1:49">
      <c r="B57" s="715" t="s">
        <v>25</v>
      </c>
      <c r="C57" s="234">
        <v>45345</v>
      </c>
      <c r="D57" s="711" t="s">
        <v>562</v>
      </c>
      <c r="E57" s="3">
        <v>100</v>
      </c>
      <c r="F57" s="3">
        <v>70</v>
      </c>
      <c r="G57" s="19">
        <v>9308158472</v>
      </c>
      <c r="H57" s="701">
        <v>68000</v>
      </c>
      <c r="J57" s="703">
        <f>H57-K57</f>
        <v>0</v>
      </c>
      <c r="K57" s="704">
        <v>68000</v>
      </c>
      <c r="M57" s="441" t="s">
        <v>16</v>
      </c>
      <c r="N57" s="718"/>
      <c r="O57" s="205"/>
      <c r="P57" s="720"/>
      <c r="Q57" s="318"/>
      <c r="R57" s="718"/>
      <c r="T57" s="718"/>
      <c r="U57" s="318"/>
    </row>
    <row r="58" spans="1:49">
      <c r="A58" s="19">
        <v>7</v>
      </c>
      <c r="B58" s="147" t="s">
        <v>504</v>
      </c>
      <c r="C58" s="234">
        <v>44704</v>
      </c>
      <c r="D58" s="717" t="s">
        <v>563</v>
      </c>
      <c r="E58" s="3" t="s">
        <v>564</v>
      </c>
      <c r="F58" s="3">
        <v>51</v>
      </c>
      <c r="G58" s="19">
        <v>9639330523</v>
      </c>
      <c r="H58" s="701">
        <v>231284</v>
      </c>
      <c r="I58" s="702">
        <f>K58+O58</f>
        <v>8000</v>
      </c>
      <c r="J58" s="703">
        <f>H58-I58-O58-Q58-S58-U58-W58-Y58-AA58-AC58-AG58</f>
        <v>186284</v>
      </c>
      <c r="K58" s="704">
        <v>5000</v>
      </c>
      <c r="L58" s="705">
        <v>8941</v>
      </c>
      <c r="M58" s="441" t="s">
        <v>565</v>
      </c>
      <c r="N58" s="718">
        <v>44905</v>
      </c>
      <c r="O58" s="571">
        <v>3000</v>
      </c>
      <c r="P58" s="714" t="s">
        <v>566</v>
      </c>
      <c r="Q58" s="573">
        <v>3600</v>
      </c>
      <c r="R58" s="718">
        <v>44985</v>
      </c>
      <c r="S58" s="573">
        <v>3600</v>
      </c>
      <c r="T58" s="718">
        <v>45017</v>
      </c>
      <c r="U58" s="573">
        <v>3600</v>
      </c>
      <c r="V58" s="734">
        <v>45077</v>
      </c>
      <c r="W58" s="574">
        <v>7200</v>
      </c>
      <c r="X58" s="734">
        <v>45202</v>
      </c>
      <c r="Y58" s="574">
        <v>4000</v>
      </c>
      <c r="Z58" s="244">
        <v>45276</v>
      </c>
      <c r="AA58" s="573">
        <v>4000</v>
      </c>
      <c r="AB58" s="244">
        <v>45295</v>
      </c>
      <c r="AC58" s="573">
        <v>4000</v>
      </c>
      <c r="AD58" s="228" t="s">
        <v>26</v>
      </c>
      <c r="AE58" s="228">
        <v>500</v>
      </c>
      <c r="AF58" s="244">
        <v>45295</v>
      </c>
      <c r="AG58" s="318">
        <v>4000</v>
      </c>
    </row>
    <row r="59" spans="1:49">
      <c r="B59" s="31" t="s">
        <v>25</v>
      </c>
      <c r="C59" s="234">
        <v>45327</v>
      </c>
      <c r="D59" s="711" t="s">
        <v>567</v>
      </c>
      <c r="E59" s="3">
        <v>200</v>
      </c>
      <c r="F59" s="3">
        <v>29</v>
      </c>
      <c r="G59" s="19">
        <v>9155522700</v>
      </c>
      <c r="H59" s="701">
        <v>368000</v>
      </c>
      <c r="J59" s="703">
        <f>H59-K59</f>
        <v>362800</v>
      </c>
      <c r="K59" s="704">
        <v>5200</v>
      </c>
      <c r="L59" s="705">
        <v>5134</v>
      </c>
      <c r="M59" s="441" t="s">
        <v>175</v>
      </c>
      <c r="N59" s="718"/>
      <c r="O59" s="205"/>
      <c r="Q59" s="318"/>
      <c r="R59" s="718"/>
      <c r="T59" s="718"/>
      <c r="U59" s="318"/>
      <c r="V59" s="734"/>
      <c r="W59" s="416"/>
      <c r="X59" s="734"/>
      <c r="Y59" s="416"/>
      <c r="Z59" s="244"/>
      <c r="AA59" s="318"/>
      <c r="AB59" s="244"/>
      <c r="AC59" s="318"/>
      <c r="AF59" s="244"/>
      <c r="AG59" s="318"/>
    </row>
    <row r="60" spans="1:49">
      <c r="B60" s="3"/>
      <c r="C60" s="234">
        <v>45351</v>
      </c>
      <c r="D60" s="711" t="s">
        <v>568</v>
      </c>
      <c r="E60" s="3">
        <v>100</v>
      </c>
      <c r="F60" s="3">
        <v>121</v>
      </c>
      <c r="G60" s="19">
        <v>9644749449</v>
      </c>
      <c r="K60" s="704">
        <v>2000</v>
      </c>
      <c r="N60" s="718"/>
      <c r="O60" s="205"/>
      <c r="Q60" s="318"/>
      <c r="R60" s="718"/>
      <c r="T60" s="718"/>
      <c r="U60" s="318"/>
      <c r="V60" s="734"/>
      <c r="W60" s="416"/>
      <c r="X60" s="734"/>
      <c r="Y60" s="416"/>
      <c r="Z60" s="244"/>
      <c r="AA60" s="318"/>
      <c r="AB60" s="244"/>
      <c r="AC60" s="318"/>
      <c r="AF60" s="244"/>
      <c r="AG60" s="318"/>
    </row>
    <row r="61" spans="1:49">
      <c r="B61" s="735" t="s">
        <v>419</v>
      </c>
      <c r="C61" s="234">
        <v>45338</v>
      </c>
      <c r="D61" s="711" t="s">
        <v>569</v>
      </c>
      <c r="E61" s="3">
        <v>200</v>
      </c>
      <c r="F61" s="3">
        <v>13</v>
      </c>
      <c r="G61" s="19">
        <v>9489164089</v>
      </c>
      <c r="H61" s="701">
        <v>281212</v>
      </c>
      <c r="J61" s="703">
        <f>H61-K61-O61</f>
        <v>220212</v>
      </c>
      <c r="K61" s="704">
        <v>30000</v>
      </c>
      <c r="M61" s="441" t="s">
        <v>69</v>
      </c>
      <c r="N61" s="718">
        <v>45366</v>
      </c>
      <c r="O61" s="205">
        <v>31000</v>
      </c>
      <c r="Q61" s="318"/>
      <c r="R61" s="718"/>
      <c r="T61" s="718"/>
      <c r="U61" s="318"/>
      <c r="V61" s="734"/>
      <c r="W61" s="416"/>
      <c r="X61" s="734"/>
      <c r="Y61" s="416"/>
      <c r="Z61" s="244"/>
      <c r="AA61" s="318"/>
      <c r="AB61" s="244"/>
      <c r="AC61" s="318"/>
      <c r="AF61" s="244"/>
      <c r="AG61" s="318"/>
    </row>
    <row r="62" spans="1:49">
      <c r="B62" s="3"/>
      <c r="C62" s="234">
        <v>45334</v>
      </c>
      <c r="D62" s="711" t="s">
        <v>570</v>
      </c>
      <c r="E62" s="3">
        <v>100</v>
      </c>
      <c r="F62" s="3">
        <v>68</v>
      </c>
      <c r="H62" s="701">
        <v>144000</v>
      </c>
      <c r="J62" s="703">
        <f>H62-K62</f>
        <v>142000</v>
      </c>
      <c r="K62" s="704">
        <v>2000</v>
      </c>
      <c r="L62" s="705">
        <v>2000</v>
      </c>
      <c r="M62" s="441" t="s">
        <v>175</v>
      </c>
      <c r="N62" s="718"/>
      <c r="O62" s="205"/>
      <c r="Q62" s="318"/>
      <c r="R62" s="718"/>
      <c r="T62" s="718"/>
      <c r="U62" s="318"/>
      <c r="V62" s="734"/>
      <c r="W62" s="416"/>
      <c r="X62" s="734"/>
      <c r="Y62" s="416"/>
      <c r="Z62" s="244"/>
      <c r="AA62" s="318"/>
      <c r="AB62" s="244"/>
      <c r="AC62" s="318"/>
      <c r="AF62" s="244"/>
      <c r="AG62" s="318"/>
    </row>
    <row r="63" spans="1:49">
      <c r="B63" s="147" t="s">
        <v>571</v>
      </c>
      <c r="C63" s="234">
        <v>45327</v>
      </c>
      <c r="D63" s="711" t="s">
        <v>572</v>
      </c>
      <c r="E63" s="3">
        <v>427</v>
      </c>
      <c r="F63" s="3" t="s">
        <v>573</v>
      </c>
      <c r="G63" s="19">
        <v>9267927849</v>
      </c>
      <c r="H63" s="701">
        <v>653310</v>
      </c>
      <c r="J63" s="703">
        <f>H63-K63-O63</f>
        <v>645310</v>
      </c>
      <c r="K63" s="704">
        <v>6000</v>
      </c>
      <c r="L63" s="705">
        <v>8101</v>
      </c>
      <c r="M63" s="441" t="s">
        <v>175</v>
      </c>
      <c r="N63" s="718">
        <v>45339</v>
      </c>
      <c r="O63" s="205">
        <v>2000</v>
      </c>
      <c r="Q63" s="318"/>
      <c r="R63" s="718"/>
      <c r="T63" s="718"/>
      <c r="U63" s="318"/>
      <c r="V63" s="734"/>
      <c r="W63" s="416"/>
      <c r="X63" s="734"/>
      <c r="Y63" s="416"/>
      <c r="Z63" s="244"/>
      <c r="AA63" s="318"/>
      <c r="AB63" s="244"/>
      <c r="AC63" s="318"/>
      <c r="AF63" s="244"/>
      <c r="AG63" s="318"/>
    </row>
    <row r="64" spans="1:49">
      <c r="B64" s="3" t="s">
        <v>574</v>
      </c>
      <c r="C64" s="234"/>
      <c r="D64" s="711" t="s">
        <v>575</v>
      </c>
      <c r="E64" s="3">
        <v>100</v>
      </c>
      <c r="H64" s="701">
        <v>144000</v>
      </c>
      <c r="L64" s="705">
        <v>2000</v>
      </c>
      <c r="M64" s="441" t="s">
        <v>175</v>
      </c>
      <c r="N64" s="718">
        <v>45356</v>
      </c>
      <c r="O64" s="205">
        <v>2000</v>
      </c>
      <c r="Q64" s="318"/>
      <c r="R64" s="718"/>
      <c r="T64" s="718"/>
      <c r="U64" s="318"/>
      <c r="V64" s="734"/>
      <c r="W64" s="416"/>
      <c r="X64" s="734"/>
      <c r="Y64" s="416"/>
      <c r="Z64" s="244"/>
      <c r="AA64" s="318"/>
      <c r="AB64" s="244"/>
      <c r="AC64" s="318"/>
      <c r="AF64" s="244"/>
      <c r="AG64" s="318"/>
    </row>
    <row r="65" spans="1:37">
      <c r="B65" s="3" t="s">
        <v>253</v>
      </c>
      <c r="C65" s="644" t="s">
        <v>536</v>
      </c>
      <c r="D65" s="717" t="s">
        <v>576</v>
      </c>
      <c r="E65" s="3">
        <v>200</v>
      </c>
      <c r="F65" s="3">
        <v>8</v>
      </c>
      <c r="H65" s="701">
        <v>158668</v>
      </c>
      <c r="I65" s="702">
        <v>105000</v>
      </c>
      <c r="J65" s="703">
        <f>H65-I65</f>
        <v>53668</v>
      </c>
      <c r="M65" s="441" t="s">
        <v>53</v>
      </c>
      <c r="N65" s="718"/>
      <c r="O65" s="205"/>
      <c r="Q65" s="318"/>
      <c r="R65" s="718"/>
      <c r="T65" s="718"/>
      <c r="U65" s="318"/>
      <c r="V65" s="734"/>
      <c r="W65" s="416"/>
      <c r="X65" s="734"/>
      <c r="Y65" s="416"/>
      <c r="Z65" s="244"/>
      <c r="AA65" s="318"/>
      <c r="AB65" s="244"/>
      <c r="AC65" s="318"/>
      <c r="AF65" s="244"/>
      <c r="AG65" s="318"/>
    </row>
    <row r="66" spans="1:37">
      <c r="B66" s="31" t="s">
        <v>25</v>
      </c>
      <c r="C66" s="234">
        <v>45334</v>
      </c>
      <c r="D66" s="711" t="s">
        <v>577</v>
      </c>
      <c r="E66" s="3">
        <v>200</v>
      </c>
      <c r="F66" s="3">
        <v>19</v>
      </c>
      <c r="G66" s="19">
        <v>9551907231</v>
      </c>
      <c r="H66" s="701">
        <v>281212</v>
      </c>
      <c r="J66" s="703">
        <f>H66-K66-O66</f>
        <v>265588</v>
      </c>
      <c r="K66" s="704">
        <v>7812</v>
      </c>
      <c r="L66" s="705">
        <v>7812</v>
      </c>
      <c r="M66" s="441" t="s">
        <v>69</v>
      </c>
      <c r="N66" s="718">
        <v>45369</v>
      </c>
      <c r="O66" s="205">
        <v>7812</v>
      </c>
      <c r="Q66" s="318"/>
      <c r="R66" s="718"/>
      <c r="T66" s="718"/>
      <c r="U66" s="318"/>
      <c r="V66" s="734"/>
      <c r="W66" s="416"/>
      <c r="X66" s="734"/>
      <c r="Y66" s="416"/>
      <c r="Z66" s="244"/>
      <c r="AA66" s="318"/>
      <c r="AB66" s="244"/>
      <c r="AC66" s="318"/>
      <c r="AF66" s="244"/>
      <c r="AG66" s="318"/>
    </row>
    <row r="67" spans="1:37" ht="15.75" customHeight="1">
      <c r="A67" s="19">
        <v>7</v>
      </c>
      <c r="B67" s="736" t="s">
        <v>578</v>
      </c>
      <c r="C67" s="234">
        <v>44704</v>
      </c>
      <c r="D67" s="717" t="s">
        <v>579</v>
      </c>
      <c r="E67" s="3">
        <v>300</v>
      </c>
      <c r="F67" s="3" t="s">
        <v>580</v>
      </c>
      <c r="G67" s="19">
        <v>9367659148</v>
      </c>
      <c r="H67" s="701">
        <v>479400</v>
      </c>
      <c r="J67" s="703">
        <f>H67-I67-O67-Q67-S67-U67-W67-Y67-AA67-AC67-AE67-AG67-AK67</f>
        <v>377900</v>
      </c>
      <c r="K67" s="704">
        <v>5000</v>
      </c>
      <c r="L67" s="705">
        <v>6033.33</v>
      </c>
      <c r="M67" s="441" t="s">
        <v>175</v>
      </c>
      <c r="N67" s="718">
        <v>44905</v>
      </c>
      <c r="O67" s="571">
        <v>6000</v>
      </c>
      <c r="P67" s="714" t="s">
        <v>581</v>
      </c>
      <c r="Q67" s="573">
        <v>10000</v>
      </c>
      <c r="R67" s="718">
        <v>44985</v>
      </c>
      <c r="S67" s="573">
        <v>8000</v>
      </c>
      <c r="T67" s="718">
        <v>45017</v>
      </c>
      <c r="U67" s="573">
        <v>10000</v>
      </c>
      <c r="V67" s="244">
        <v>45048</v>
      </c>
      <c r="W67" s="573">
        <v>10000</v>
      </c>
      <c r="X67" s="244">
        <v>45077</v>
      </c>
      <c r="Y67" s="573">
        <v>9000</v>
      </c>
      <c r="Z67" s="244">
        <v>45111</v>
      </c>
      <c r="AA67" s="573">
        <v>8000</v>
      </c>
      <c r="AB67" s="244">
        <v>45140</v>
      </c>
      <c r="AC67" s="573">
        <v>8000</v>
      </c>
      <c r="AD67" s="244">
        <v>45202</v>
      </c>
      <c r="AE67" s="573">
        <v>8000</v>
      </c>
      <c r="AF67" s="244">
        <v>45276</v>
      </c>
      <c r="AG67" s="573">
        <v>16000</v>
      </c>
      <c r="AH67" s="228" t="s">
        <v>26</v>
      </c>
      <c r="AI67" s="228">
        <v>500</v>
      </c>
      <c r="AJ67" s="244">
        <v>45300</v>
      </c>
      <c r="AK67" s="573">
        <v>8500</v>
      </c>
    </row>
    <row r="68" spans="1:37" ht="15.75" customHeight="1">
      <c r="B68" s="715" t="s">
        <v>25</v>
      </c>
      <c r="C68" s="234">
        <v>45351</v>
      </c>
      <c r="D68" s="711" t="s">
        <v>582</v>
      </c>
      <c r="E68" s="3">
        <v>100</v>
      </c>
      <c r="F68" s="3">
        <v>69</v>
      </c>
      <c r="G68" s="19">
        <v>9284593356</v>
      </c>
      <c r="H68" s="701">
        <v>68000</v>
      </c>
      <c r="J68" s="703">
        <f>H68-K68-O68</f>
        <v>28000</v>
      </c>
      <c r="K68" s="704">
        <v>5000</v>
      </c>
      <c r="M68" s="441" t="s">
        <v>16</v>
      </c>
      <c r="N68" s="718">
        <v>45383</v>
      </c>
      <c r="O68" s="205">
        <v>35000</v>
      </c>
      <c r="Q68" s="318"/>
      <c r="R68" s="718"/>
      <c r="T68" s="718"/>
      <c r="U68" s="318"/>
      <c r="V68" s="244"/>
      <c r="W68" s="318"/>
      <c r="X68" s="244"/>
      <c r="Y68" s="318"/>
      <c r="Z68" s="244"/>
      <c r="AA68" s="318"/>
      <c r="AB68" s="244"/>
      <c r="AC68" s="318"/>
      <c r="AD68" s="244"/>
      <c r="AE68" s="318"/>
      <c r="AF68" s="244"/>
      <c r="AG68" s="318"/>
      <c r="AJ68" s="244"/>
      <c r="AK68" s="318"/>
    </row>
    <row r="69" spans="1:37" ht="15.75" customHeight="1">
      <c r="B69" s="262" t="s">
        <v>583</v>
      </c>
      <c r="C69" s="234">
        <v>45362</v>
      </c>
      <c r="D69" s="711" t="s">
        <v>584</v>
      </c>
      <c r="E69" s="3">
        <v>200</v>
      </c>
      <c r="F69" s="3">
        <v>24</v>
      </c>
      <c r="G69" s="19">
        <v>9531235835</v>
      </c>
      <c r="H69" s="701">
        <v>212000</v>
      </c>
      <c r="J69" s="703">
        <f t="shared" ref="J69:J74" si="1">H69-K69</f>
        <v>210000</v>
      </c>
      <c r="K69" s="704">
        <v>2000</v>
      </c>
      <c r="N69" s="718"/>
      <c r="O69" s="205"/>
      <c r="Q69" s="318"/>
      <c r="R69" s="718"/>
      <c r="T69" s="718"/>
      <c r="U69" s="318"/>
      <c r="V69" s="244"/>
      <c r="W69" s="318"/>
      <c r="X69" s="244"/>
      <c r="Y69" s="318"/>
      <c r="Z69" s="244"/>
      <c r="AA69" s="318"/>
      <c r="AB69" s="244"/>
      <c r="AC69" s="318"/>
      <c r="AD69" s="244"/>
      <c r="AE69" s="318"/>
      <c r="AF69" s="244"/>
      <c r="AG69" s="318"/>
      <c r="AJ69" s="244"/>
      <c r="AK69" s="318"/>
    </row>
    <row r="70" spans="1:37" ht="15.75" customHeight="1">
      <c r="B70" s="715" t="s">
        <v>25</v>
      </c>
      <c r="C70" s="234">
        <v>45351</v>
      </c>
      <c r="D70" s="711" t="s">
        <v>585</v>
      </c>
      <c r="E70" s="3">
        <v>200</v>
      </c>
      <c r="F70" s="3">
        <v>44</v>
      </c>
      <c r="G70" s="19">
        <v>9654634050</v>
      </c>
      <c r="H70" s="701">
        <v>242668</v>
      </c>
      <c r="J70" s="703">
        <f t="shared" si="1"/>
        <v>237668</v>
      </c>
      <c r="K70" s="704">
        <v>5000</v>
      </c>
      <c r="L70" s="705">
        <v>5056</v>
      </c>
      <c r="M70" s="441" t="s">
        <v>296</v>
      </c>
      <c r="N70" s="718"/>
      <c r="O70" s="205"/>
      <c r="Q70" s="318"/>
      <c r="R70" s="718"/>
      <c r="T70" s="718"/>
      <c r="U70" s="318"/>
      <c r="V70" s="244"/>
      <c r="W70" s="318"/>
      <c r="X70" s="244"/>
      <c r="Y70" s="318"/>
      <c r="Z70" s="244"/>
      <c r="AA70" s="318"/>
      <c r="AB70" s="244"/>
      <c r="AC70" s="318"/>
      <c r="AD70" s="244"/>
      <c r="AE70" s="318"/>
      <c r="AF70" s="244"/>
      <c r="AG70" s="318"/>
      <c r="AJ70" s="244"/>
      <c r="AK70" s="318"/>
    </row>
    <row r="71" spans="1:37" ht="15.75" customHeight="1">
      <c r="B71" s="737" t="s">
        <v>419</v>
      </c>
      <c r="C71" s="234">
        <v>45331</v>
      </c>
      <c r="D71" s="711" t="s">
        <v>586</v>
      </c>
      <c r="E71" s="3">
        <v>189</v>
      </c>
      <c r="F71" s="3">
        <v>64</v>
      </c>
      <c r="G71" s="19">
        <v>9551495421</v>
      </c>
      <c r="H71" s="701">
        <v>272160</v>
      </c>
      <c r="J71" s="703">
        <f t="shared" si="1"/>
        <v>262160</v>
      </c>
      <c r="K71" s="704">
        <v>10000</v>
      </c>
      <c r="L71" s="705">
        <v>3780</v>
      </c>
      <c r="M71" s="441" t="s">
        <v>175</v>
      </c>
      <c r="N71" s="718"/>
      <c r="O71" s="205"/>
      <c r="Q71" s="318"/>
      <c r="R71" s="718"/>
      <c r="T71" s="718"/>
      <c r="U71" s="318"/>
      <c r="V71" s="244"/>
      <c r="W71" s="318"/>
      <c r="X71" s="244"/>
      <c r="Y71" s="318"/>
      <c r="Z71" s="244"/>
      <c r="AA71" s="318"/>
      <c r="AB71" s="244"/>
      <c r="AC71" s="318"/>
      <c r="AD71" s="244"/>
      <c r="AE71" s="318"/>
      <c r="AF71" s="244"/>
      <c r="AG71" s="318"/>
      <c r="AJ71" s="244"/>
      <c r="AK71" s="318"/>
    </row>
    <row r="72" spans="1:37" ht="15.75" customHeight="1">
      <c r="B72" s="737" t="s">
        <v>419</v>
      </c>
      <c r="C72" s="234">
        <v>45339</v>
      </c>
      <c r="D72" s="711" t="s">
        <v>587</v>
      </c>
      <c r="E72" s="3">
        <v>600</v>
      </c>
      <c r="F72" s="3" t="s">
        <v>588</v>
      </c>
      <c r="G72" s="19">
        <v>9610356616</v>
      </c>
      <c r="H72" s="701">
        <v>864000</v>
      </c>
      <c r="J72" s="703">
        <f>H72-K72-O72</f>
        <v>844000</v>
      </c>
      <c r="K72" s="704">
        <v>10000</v>
      </c>
      <c r="M72" s="441" t="s">
        <v>175</v>
      </c>
      <c r="N72" s="718">
        <v>45367</v>
      </c>
      <c r="O72" s="205">
        <v>10000</v>
      </c>
      <c r="Q72" s="318"/>
      <c r="R72" s="718"/>
      <c r="T72" s="718"/>
      <c r="U72" s="318"/>
      <c r="V72" s="244"/>
      <c r="W72" s="318"/>
      <c r="X72" s="244"/>
      <c r="Y72" s="318"/>
      <c r="Z72" s="244"/>
      <c r="AA72" s="318"/>
      <c r="AB72" s="244"/>
      <c r="AC72" s="318"/>
      <c r="AD72" s="244"/>
      <c r="AE72" s="318"/>
      <c r="AF72" s="244"/>
      <c r="AG72" s="318"/>
      <c r="AJ72" s="244"/>
      <c r="AK72" s="318"/>
    </row>
    <row r="73" spans="1:37" ht="15.75" customHeight="1">
      <c r="B73" s="715" t="s">
        <v>25</v>
      </c>
      <c r="C73" s="234">
        <v>45351</v>
      </c>
      <c r="D73" s="711" t="s">
        <v>589</v>
      </c>
      <c r="E73" s="3">
        <v>200</v>
      </c>
      <c r="F73" s="3">
        <v>58</v>
      </c>
      <c r="G73" s="19">
        <v>9955305172</v>
      </c>
      <c r="H73" s="701">
        <v>242668</v>
      </c>
      <c r="J73" s="703">
        <f t="shared" si="1"/>
        <v>237668</v>
      </c>
      <c r="K73" s="704">
        <v>5000</v>
      </c>
      <c r="L73" s="705">
        <v>5056</v>
      </c>
      <c r="M73" s="441" t="s">
        <v>296</v>
      </c>
      <c r="N73" s="718"/>
      <c r="O73" s="205"/>
      <c r="Q73" s="318"/>
      <c r="R73" s="718"/>
      <c r="T73" s="718"/>
      <c r="U73" s="318"/>
      <c r="V73" s="244"/>
      <c r="W73" s="318"/>
      <c r="X73" s="244"/>
      <c r="Y73" s="318"/>
      <c r="Z73" s="244"/>
      <c r="AA73" s="318"/>
      <c r="AB73" s="244"/>
      <c r="AC73" s="318"/>
      <c r="AD73" s="244"/>
      <c r="AE73" s="318"/>
      <c r="AF73" s="244"/>
      <c r="AG73" s="318"/>
      <c r="AJ73" s="244"/>
      <c r="AK73" s="318"/>
    </row>
    <row r="74" spans="1:37" ht="15.75" customHeight="1">
      <c r="B74" s="262"/>
      <c r="C74" s="234">
        <v>45355</v>
      </c>
      <c r="D74" s="711" t="s">
        <v>590</v>
      </c>
      <c r="E74" s="3">
        <v>100</v>
      </c>
      <c r="F74" s="3">
        <v>85</v>
      </c>
      <c r="G74" s="19">
        <v>9756818399</v>
      </c>
      <c r="H74" s="701">
        <v>68000</v>
      </c>
      <c r="J74" s="703">
        <f t="shared" si="1"/>
        <v>0</v>
      </c>
      <c r="K74" s="704">
        <v>68000</v>
      </c>
      <c r="M74" s="441" t="s">
        <v>16</v>
      </c>
      <c r="N74" s="718"/>
      <c r="O74" s="205"/>
      <c r="Q74" s="318"/>
      <c r="R74" s="718"/>
      <c r="T74" s="718"/>
      <c r="U74" s="318"/>
      <c r="V74" s="244"/>
      <c r="W74" s="318"/>
      <c r="X74" s="244"/>
      <c r="Y74" s="318"/>
      <c r="Z74" s="244"/>
      <c r="AA74" s="318"/>
      <c r="AB74" s="244"/>
      <c r="AC74" s="318"/>
      <c r="AD74" s="244"/>
      <c r="AE74" s="318"/>
      <c r="AF74" s="244"/>
      <c r="AG74" s="318"/>
      <c r="AJ74" s="244"/>
      <c r="AK74" s="318"/>
    </row>
    <row r="75" spans="1:37">
      <c r="B75" s="739" t="s">
        <v>493</v>
      </c>
      <c r="C75" s="234">
        <v>45336</v>
      </c>
      <c r="D75" s="861" t="s">
        <v>695</v>
      </c>
      <c r="E75" s="262">
        <v>200</v>
      </c>
      <c r="F75" s="3">
        <v>57</v>
      </c>
      <c r="G75" s="19">
        <v>9755193191</v>
      </c>
      <c r="H75" s="701">
        <v>197336</v>
      </c>
      <c r="J75" s="703">
        <f>H75-K75</f>
        <v>187336</v>
      </c>
      <c r="K75" s="704">
        <v>10000</v>
      </c>
      <c r="L75" s="705">
        <v>4111</v>
      </c>
      <c r="M75" s="441" t="s">
        <v>53</v>
      </c>
      <c r="N75" s="927"/>
      <c r="O75" s="927"/>
      <c r="P75" s="927"/>
      <c r="Q75" s="927"/>
      <c r="R75" s="718"/>
      <c r="T75" s="718"/>
      <c r="U75" s="318"/>
    </row>
    <row r="76" spans="1:37" ht="15.75" customHeight="1">
      <c r="B76" s="262"/>
      <c r="C76" s="234">
        <v>45334</v>
      </c>
      <c r="D76" s="711" t="s">
        <v>591</v>
      </c>
      <c r="E76" s="3">
        <v>200</v>
      </c>
      <c r="F76" s="3">
        <v>21</v>
      </c>
      <c r="G76" s="19">
        <v>9613247654</v>
      </c>
      <c r="H76" s="701">
        <v>281212</v>
      </c>
      <c r="I76" s="702">
        <f>H76-J76</f>
        <v>15624</v>
      </c>
      <c r="J76" s="703">
        <f>H76-K76-O76</f>
        <v>265588</v>
      </c>
      <c r="K76" s="704">
        <v>7812</v>
      </c>
      <c r="L76" s="705">
        <v>7812</v>
      </c>
      <c r="M76" s="441" t="s">
        <v>69</v>
      </c>
      <c r="N76" s="718">
        <v>45369</v>
      </c>
      <c r="O76" s="205">
        <v>7812</v>
      </c>
      <c r="Q76" s="318"/>
      <c r="R76" s="718"/>
      <c r="T76" s="718"/>
      <c r="U76" s="318"/>
      <c r="V76" s="244"/>
      <c r="W76" s="318"/>
      <c r="X76" s="244"/>
      <c r="Y76" s="318"/>
      <c r="Z76" s="244"/>
      <c r="AA76" s="318"/>
      <c r="AB76" s="244"/>
      <c r="AC76" s="318"/>
      <c r="AD76" s="244"/>
      <c r="AE76" s="318"/>
      <c r="AF76" s="244"/>
      <c r="AG76" s="318"/>
      <c r="AJ76" s="244"/>
      <c r="AK76" s="318"/>
    </row>
    <row r="77" spans="1:37" ht="13.5" customHeight="1">
      <c r="B77" s="262"/>
      <c r="C77" s="234">
        <v>41683</v>
      </c>
      <c r="D77" s="711" t="s">
        <v>592</v>
      </c>
      <c r="E77" s="3">
        <v>100</v>
      </c>
      <c r="F77" s="3">
        <v>84</v>
      </c>
      <c r="G77" s="19">
        <v>9066308125</v>
      </c>
      <c r="H77" s="701">
        <v>110000</v>
      </c>
      <c r="J77" s="703">
        <f>H77-K77-O77</f>
        <v>103944</v>
      </c>
      <c r="K77" s="704">
        <v>3000</v>
      </c>
      <c r="L77" s="705">
        <v>3056</v>
      </c>
      <c r="M77" s="441" t="s">
        <v>69</v>
      </c>
      <c r="N77" s="718">
        <v>45366</v>
      </c>
      <c r="O77" s="205">
        <v>3056</v>
      </c>
      <c r="Q77" s="318"/>
      <c r="R77" s="718"/>
      <c r="T77" s="718"/>
      <c r="U77" s="318"/>
      <c r="V77" s="244"/>
      <c r="W77" s="318"/>
      <c r="X77" s="244"/>
      <c r="Y77" s="318"/>
      <c r="Z77" s="244"/>
      <c r="AA77" s="318"/>
      <c r="AB77" s="244"/>
      <c r="AC77" s="318"/>
      <c r="AD77" s="244"/>
      <c r="AE77" s="318"/>
      <c r="AF77" s="244"/>
      <c r="AG77" s="318"/>
      <c r="AJ77" s="244"/>
      <c r="AK77" s="318"/>
    </row>
    <row r="78" spans="1:37" ht="13.5" customHeight="1">
      <c r="B78" s="262"/>
      <c r="C78" s="234">
        <v>45338</v>
      </c>
      <c r="D78" s="711" t="s">
        <v>593</v>
      </c>
      <c r="E78" s="3">
        <v>200</v>
      </c>
      <c r="F78" s="3">
        <v>1</v>
      </c>
      <c r="G78" s="19">
        <v>9751889581</v>
      </c>
      <c r="H78" s="701">
        <v>222268</v>
      </c>
      <c r="J78" s="703">
        <f>H78-K78-O78-Q78</f>
        <v>142268</v>
      </c>
      <c r="K78" s="704">
        <v>20000</v>
      </c>
      <c r="L78" s="705">
        <v>18462</v>
      </c>
      <c r="M78" s="441" t="s">
        <v>66</v>
      </c>
      <c r="N78" s="718">
        <v>45341</v>
      </c>
      <c r="O78" s="205">
        <v>40000</v>
      </c>
      <c r="P78" s="720">
        <v>45343</v>
      </c>
      <c r="Q78" s="318">
        <v>20000</v>
      </c>
      <c r="R78" s="718"/>
      <c r="T78" s="718"/>
      <c r="U78" s="318"/>
      <c r="V78" s="244"/>
      <c r="W78" s="318"/>
      <c r="X78" s="244"/>
      <c r="Y78" s="318"/>
      <c r="Z78" s="244"/>
      <c r="AA78" s="318"/>
      <c r="AB78" s="244"/>
      <c r="AC78" s="318"/>
      <c r="AD78" s="244"/>
      <c r="AE78" s="318"/>
      <c r="AF78" s="244"/>
      <c r="AG78" s="318"/>
      <c r="AJ78" s="244"/>
      <c r="AK78" s="318"/>
    </row>
    <row r="79" spans="1:37" ht="13.5" customHeight="1">
      <c r="B79" s="715" t="s">
        <v>25</v>
      </c>
      <c r="C79" s="234">
        <v>45360</v>
      </c>
      <c r="D79" s="711" t="s">
        <v>594</v>
      </c>
      <c r="E79" s="3">
        <v>200</v>
      </c>
      <c r="F79" s="3">
        <v>23</v>
      </c>
      <c r="G79" s="19">
        <v>9853119638</v>
      </c>
      <c r="H79" s="701">
        <v>369600</v>
      </c>
      <c r="I79" s="702">
        <f>H79-J79</f>
        <v>5000</v>
      </c>
      <c r="J79" s="703">
        <f>H79-K79-O79</f>
        <v>364600</v>
      </c>
      <c r="K79" s="704">
        <v>2500</v>
      </c>
      <c r="L79" s="705">
        <v>5134</v>
      </c>
      <c r="M79" s="441" t="s">
        <v>175</v>
      </c>
      <c r="N79" s="718">
        <v>45369</v>
      </c>
      <c r="O79" s="205">
        <v>2500</v>
      </c>
      <c r="Q79" s="318"/>
      <c r="R79" s="718"/>
      <c r="T79" s="718"/>
      <c r="U79" s="318"/>
      <c r="V79" s="244"/>
      <c r="W79" s="318"/>
      <c r="X79" s="244"/>
      <c r="Y79" s="318"/>
      <c r="Z79" s="244"/>
      <c r="AA79" s="318"/>
      <c r="AB79" s="244"/>
      <c r="AC79" s="318"/>
      <c r="AD79" s="244"/>
      <c r="AE79" s="318"/>
      <c r="AF79" s="244"/>
      <c r="AG79" s="318"/>
      <c r="AJ79" s="244"/>
      <c r="AK79" s="318"/>
    </row>
    <row r="80" spans="1:37" ht="13.5" customHeight="1">
      <c r="B80" s="262"/>
      <c r="C80" s="234">
        <v>45383</v>
      </c>
      <c r="D80" s="711" t="s">
        <v>595</v>
      </c>
      <c r="E80" s="3">
        <v>100</v>
      </c>
      <c r="F80" s="3">
        <v>98</v>
      </c>
      <c r="G80" s="19">
        <v>9928365738</v>
      </c>
      <c r="H80" s="701">
        <v>110000</v>
      </c>
      <c r="J80" s="703">
        <f>H80-K80</f>
        <v>108000</v>
      </c>
      <c r="K80" s="704">
        <v>2000</v>
      </c>
      <c r="L80" s="705">
        <v>3056</v>
      </c>
      <c r="M80" s="441" t="s">
        <v>69</v>
      </c>
      <c r="N80" s="718"/>
      <c r="O80" s="205"/>
      <c r="Q80" s="318"/>
      <c r="R80" s="718"/>
      <c r="T80" s="718"/>
      <c r="U80" s="318"/>
      <c r="V80" s="244"/>
      <c r="W80" s="318"/>
      <c r="X80" s="244"/>
      <c r="Y80" s="318"/>
      <c r="Z80" s="244"/>
      <c r="AA80" s="318"/>
      <c r="AB80" s="244"/>
      <c r="AC80" s="318"/>
      <c r="AD80" s="244"/>
      <c r="AE80" s="318"/>
      <c r="AF80" s="244"/>
      <c r="AG80" s="318"/>
      <c r="AJ80" s="244"/>
      <c r="AK80" s="318"/>
    </row>
    <row r="81" spans="1:37" s="795" customFormat="1" ht="13.5" customHeight="1">
      <c r="A81" s="781"/>
      <c r="B81" s="856" t="s">
        <v>675</v>
      </c>
      <c r="C81" s="783">
        <v>45298</v>
      </c>
      <c r="D81" s="855" t="s">
        <v>694</v>
      </c>
      <c r="E81" s="767">
        <v>200</v>
      </c>
      <c r="F81" s="767">
        <v>18</v>
      </c>
      <c r="G81" s="781"/>
      <c r="H81" s="785">
        <v>226668</v>
      </c>
      <c r="I81" s="786">
        <v>45000</v>
      </c>
      <c r="J81" s="787">
        <f>H81-I81-O81-Q81-S81-U81-W81-Y81-AA81</f>
        <v>106668</v>
      </c>
      <c r="K81" s="788"/>
      <c r="L81" s="789"/>
      <c r="M81" s="790" t="s">
        <v>53</v>
      </c>
      <c r="N81" s="791">
        <v>45388</v>
      </c>
      <c r="O81" s="792">
        <v>15000</v>
      </c>
      <c r="P81" s="875">
        <v>46091</v>
      </c>
      <c r="Q81" s="793">
        <v>15000</v>
      </c>
      <c r="R81" s="791">
        <v>46175</v>
      </c>
      <c r="S81" s="793">
        <v>5000</v>
      </c>
      <c r="T81" s="791">
        <v>45998</v>
      </c>
      <c r="U81" s="793">
        <v>10000</v>
      </c>
      <c r="V81" s="794">
        <v>45541</v>
      </c>
      <c r="W81" s="793">
        <v>15000</v>
      </c>
      <c r="X81" s="794">
        <v>46175</v>
      </c>
      <c r="Y81" s="793">
        <v>5000</v>
      </c>
      <c r="Z81" s="794">
        <v>46244</v>
      </c>
      <c r="AA81" s="793">
        <v>10000</v>
      </c>
      <c r="AB81" s="794"/>
      <c r="AC81" s="793"/>
      <c r="AD81" s="794"/>
      <c r="AE81" s="793"/>
      <c r="AF81" s="794"/>
      <c r="AG81" s="793"/>
      <c r="AJ81" s="794"/>
      <c r="AK81" s="793"/>
    </row>
    <row r="82" spans="1:37">
      <c r="B82" s="262" t="s">
        <v>597</v>
      </c>
      <c r="C82" s="234">
        <v>45362</v>
      </c>
      <c r="D82" s="711" t="s">
        <v>598</v>
      </c>
      <c r="E82" s="262">
        <v>200</v>
      </c>
      <c r="F82" s="3">
        <v>26</v>
      </c>
      <c r="G82" s="19">
        <v>9267927529</v>
      </c>
      <c r="H82" s="701">
        <v>212000</v>
      </c>
      <c r="J82" s="703">
        <f>H82-K82</f>
        <v>210000</v>
      </c>
      <c r="K82" s="704">
        <v>2000</v>
      </c>
      <c r="N82" s="718"/>
      <c r="O82" s="205"/>
      <c r="P82" s="720"/>
      <c r="Q82" s="318"/>
      <c r="R82" s="718"/>
      <c r="T82" s="718"/>
      <c r="U82" s="318"/>
      <c r="V82" s="244"/>
      <c r="W82" s="318"/>
    </row>
    <row r="83" spans="1:37">
      <c r="B83" s="737" t="s">
        <v>419</v>
      </c>
      <c r="C83" s="234">
        <v>45331</v>
      </c>
      <c r="D83" s="711" t="s">
        <v>599</v>
      </c>
      <c r="E83" s="262">
        <v>200</v>
      </c>
      <c r="F83" s="52">
        <v>126128</v>
      </c>
      <c r="G83" s="19">
        <v>9994958234</v>
      </c>
      <c r="H83" s="701">
        <v>288000</v>
      </c>
      <c r="J83" s="703">
        <f>H83-K83</f>
        <v>284000</v>
      </c>
      <c r="K83" s="704">
        <v>4000</v>
      </c>
      <c r="L83" s="705">
        <v>4000</v>
      </c>
      <c r="M83" s="441" t="s">
        <v>175</v>
      </c>
      <c r="N83" s="718"/>
      <c r="O83" s="205"/>
      <c r="P83" s="720"/>
      <c r="Q83" s="318"/>
      <c r="R83" s="718"/>
      <c r="T83" s="718"/>
      <c r="U83" s="318"/>
    </row>
    <row r="84" spans="1:37">
      <c r="A84" s="19">
        <v>7</v>
      </c>
      <c r="B84" s="740" t="s">
        <v>504</v>
      </c>
      <c r="C84" s="234">
        <v>44905</v>
      </c>
      <c r="D84" s="717" t="s">
        <v>600</v>
      </c>
      <c r="E84" s="262" t="s">
        <v>564</v>
      </c>
      <c r="F84" s="3">
        <v>51</v>
      </c>
      <c r="H84" s="701">
        <v>231284</v>
      </c>
      <c r="I84" s="702">
        <f>O84+Q84+S84+U84</f>
        <v>25105</v>
      </c>
      <c r="J84" s="703">
        <f>H84-I84-O84-Q84-S84-U84-W84-Y84-AA84-AC84-AE84</f>
        <v>163574</v>
      </c>
      <c r="L84" s="705">
        <v>3572</v>
      </c>
      <c r="M84" s="441" t="s">
        <v>425</v>
      </c>
      <c r="N84" s="718">
        <v>44905</v>
      </c>
      <c r="O84" s="571">
        <v>3571</v>
      </c>
      <c r="P84" s="714" t="s">
        <v>319</v>
      </c>
      <c r="Q84" s="573">
        <v>14284</v>
      </c>
      <c r="R84" s="718">
        <v>44985</v>
      </c>
      <c r="S84" s="573">
        <v>3650</v>
      </c>
      <c r="T84" s="718">
        <v>45017</v>
      </c>
      <c r="U84" s="573">
        <v>3600</v>
      </c>
      <c r="V84" s="244">
        <v>45048</v>
      </c>
      <c r="W84" s="573">
        <v>4000</v>
      </c>
      <c r="X84" s="244">
        <v>45077</v>
      </c>
      <c r="Y84" s="573">
        <v>3600</v>
      </c>
      <c r="Z84" s="244">
        <v>45111</v>
      </c>
      <c r="AA84" s="573">
        <v>3600</v>
      </c>
      <c r="AB84" s="244">
        <v>45140</v>
      </c>
      <c r="AC84" s="573">
        <v>3600</v>
      </c>
      <c r="AD84" s="244">
        <v>45202</v>
      </c>
      <c r="AE84" s="573">
        <v>2700</v>
      </c>
      <c r="AF84" s="244">
        <v>45276</v>
      </c>
      <c r="AG84" s="573">
        <v>7200</v>
      </c>
      <c r="AH84" s="228" t="s">
        <v>26</v>
      </c>
      <c r="AI84" s="228">
        <v>500</v>
      </c>
    </row>
    <row r="85" spans="1:37">
      <c r="B85" s="741" t="s">
        <v>25</v>
      </c>
      <c r="C85" s="234">
        <v>45352</v>
      </c>
      <c r="D85" s="711" t="s">
        <v>601</v>
      </c>
      <c r="E85" s="262">
        <v>200</v>
      </c>
      <c r="F85" s="52">
        <v>101103</v>
      </c>
      <c r="G85" s="19">
        <v>9652665684</v>
      </c>
      <c r="H85" s="701">
        <v>288000</v>
      </c>
      <c r="J85" s="703">
        <f>H85-K85-O85</f>
        <v>280000</v>
      </c>
      <c r="K85" s="704">
        <v>4000</v>
      </c>
      <c r="L85" s="705">
        <v>4000</v>
      </c>
      <c r="M85" s="441" t="s">
        <v>175</v>
      </c>
      <c r="N85" s="720" t="s">
        <v>507</v>
      </c>
      <c r="O85" s="205">
        <v>4000</v>
      </c>
      <c r="Q85" s="318"/>
      <c r="R85" s="718"/>
      <c r="T85" s="718"/>
      <c r="U85" s="318"/>
      <c r="V85" s="244"/>
      <c r="W85" s="318"/>
      <c r="X85" s="244"/>
      <c r="Y85" s="318"/>
      <c r="Z85" s="244"/>
      <c r="AA85" s="318"/>
      <c r="AB85" s="244"/>
      <c r="AC85" s="318"/>
      <c r="AD85" s="244"/>
      <c r="AE85" s="318"/>
      <c r="AF85" s="244"/>
      <c r="AG85" s="318"/>
    </row>
    <row r="86" spans="1:37">
      <c r="B86" s="724"/>
      <c r="C86" s="234">
        <v>45341</v>
      </c>
      <c r="D86" s="711" t="s">
        <v>602</v>
      </c>
      <c r="E86" s="262">
        <v>200</v>
      </c>
      <c r="F86" s="3">
        <v>114</v>
      </c>
      <c r="G86" s="19">
        <v>9350215938</v>
      </c>
      <c r="H86" s="701">
        <v>288000</v>
      </c>
      <c r="J86" s="703">
        <f>H86-K86</f>
        <v>284000</v>
      </c>
      <c r="K86" s="704">
        <v>4000</v>
      </c>
      <c r="L86" s="705">
        <v>4000</v>
      </c>
      <c r="M86" s="441" t="s">
        <v>175</v>
      </c>
      <c r="N86" s="718"/>
      <c r="O86" s="205"/>
      <c r="Q86" s="318"/>
      <c r="R86" s="718"/>
      <c r="T86" s="718"/>
      <c r="U86" s="318"/>
      <c r="V86" s="244"/>
      <c r="W86" s="318"/>
      <c r="X86" s="244"/>
      <c r="Y86" s="318"/>
      <c r="Z86" s="244"/>
      <c r="AA86" s="318"/>
      <c r="AB86" s="244"/>
      <c r="AC86" s="318"/>
      <c r="AD86" s="244"/>
      <c r="AE86" s="318"/>
      <c r="AF86" s="244"/>
      <c r="AG86" s="318"/>
    </row>
    <row r="87" spans="1:37">
      <c r="B87" s="724"/>
      <c r="C87" s="234">
        <v>45335</v>
      </c>
      <c r="D87" s="711" t="s">
        <v>603</v>
      </c>
      <c r="E87" s="262">
        <v>200</v>
      </c>
      <c r="F87" s="262">
        <v>2</v>
      </c>
      <c r="G87" s="19">
        <v>9654266638</v>
      </c>
      <c r="H87" s="701">
        <v>136000</v>
      </c>
      <c r="I87" s="702">
        <v>136000</v>
      </c>
      <c r="J87" s="703">
        <f>H87-I87</f>
        <v>0</v>
      </c>
      <c r="K87" s="704">
        <v>136000</v>
      </c>
      <c r="M87" s="441" t="s">
        <v>16</v>
      </c>
      <c r="N87" s="718"/>
      <c r="O87" s="205"/>
      <c r="Q87" s="318"/>
      <c r="R87" s="718"/>
      <c r="T87" s="718"/>
      <c r="U87" s="318"/>
      <c r="V87" s="244"/>
      <c r="W87" s="318"/>
      <c r="X87" s="244"/>
      <c r="Y87" s="318"/>
      <c r="Z87" s="244"/>
      <c r="AA87" s="318"/>
      <c r="AB87" s="244"/>
      <c r="AC87" s="318"/>
      <c r="AD87" s="244"/>
      <c r="AE87" s="318"/>
      <c r="AF87" s="244"/>
      <c r="AG87" s="318"/>
    </row>
    <row r="88" spans="1:37">
      <c r="B88" s="724" t="s">
        <v>132</v>
      </c>
      <c r="C88" s="39" t="s">
        <v>604</v>
      </c>
      <c r="D88" s="717" t="s">
        <v>605</v>
      </c>
      <c r="E88" s="262"/>
      <c r="F88" s="262"/>
      <c r="K88" s="704">
        <v>25000</v>
      </c>
      <c r="N88" s="718"/>
      <c r="O88" s="205"/>
      <c r="Q88" s="318"/>
      <c r="R88" s="718"/>
      <c r="T88" s="718"/>
      <c r="U88" s="318"/>
      <c r="V88" s="244"/>
      <c r="W88" s="318"/>
      <c r="X88" s="244"/>
      <c r="Y88" s="318"/>
      <c r="Z88" s="244"/>
      <c r="AA88" s="318"/>
      <c r="AB88" s="244"/>
      <c r="AC88" s="318"/>
      <c r="AD88" s="244"/>
      <c r="AE88" s="318"/>
      <c r="AF88" s="244"/>
      <c r="AG88" s="318"/>
    </row>
    <row r="89" spans="1:37">
      <c r="A89" s="19">
        <v>7</v>
      </c>
      <c r="B89" s="740" t="s">
        <v>504</v>
      </c>
      <c r="C89" s="234">
        <v>44905</v>
      </c>
      <c r="D89" s="717" t="s">
        <v>606</v>
      </c>
      <c r="E89" s="262" t="s">
        <v>564</v>
      </c>
      <c r="F89" s="3">
        <v>51</v>
      </c>
      <c r="G89" s="19">
        <v>9512651049</v>
      </c>
      <c r="H89" s="701">
        <v>231284</v>
      </c>
      <c r="I89" s="702">
        <f>O89+Q89+S89+U89</f>
        <v>15821</v>
      </c>
      <c r="J89" s="703">
        <f>H89-I89-O89-Q89-S89-U89-W89-Y89-AA89-AC89-AE89-AG89-AI89</f>
        <v>169542</v>
      </c>
      <c r="L89" s="705">
        <v>3571.9</v>
      </c>
      <c r="M89" s="441" t="s">
        <v>425</v>
      </c>
      <c r="N89" s="718">
        <v>44905</v>
      </c>
      <c r="O89" s="571">
        <v>3571</v>
      </c>
      <c r="P89" s="714" t="s">
        <v>319</v>
      </c>
      <c r="Q89" s="573">
        <v>5000</v>
      </c>
      <c r="R89" s="718">
        <v>44985</v>
      </c>
      <c r="S89" s="573">
        <v>3650</v>
      </c>
      <c r="T89" s="718">
        <v>45017</v>
      </c>
      <c r="U89" s="573">
        <v>3600</v>
      </c>
      <c r="V89" s="244">
        <v>45048</v>
      </c>
      <c r="W89" s="573">
        <v>4000</v>
      </c>
      <c r="X89" s="244">
        <v>45077</v>
      </c>
      <c r="Y89" s="573">
        <v>4000</v>
      </c>
      <c r="Z89" s="244">
        <v>45111</v>
      </c>
      <c r="AA89" s="573">
        <v>3600</v>
      </c>
      <c r="AB89" s="244">
        <v>45140</v>
      </c>
      <c r="AC89" s="573">
        <v>3600</v>
      </c>
      <c r="AD89" s="244">
        <v>45202</v>
      </c>
      <c r="AE89" s="573">
        <v>3800</v>
      </c>
      <c r="AF89" s="244">
        <v>45276</v>
      </c>
      <c r="AG89" s="573">
        <v>7500</v>
      </c>
      <c r="AH89" s="244">
        <v>45300</v>
      </c>
      <c r="AI89" s="573">
        <v>3600</v>
      </c>
      <c r="AJ89" s="244"/>
    </row>
    <row r="90" spans="1:37">
      <c r="B90" s="741" t="s">
        <v>25</v>
      </c>
      <c r="C90" s="234">
        <v>45343</v>
      </c>
      <c r="D90" s="711" t="s">
        <v>607</v>
      </c>
      <c r="E90" s="726">
        <v>300</v>
      </c>
      <c r="F90" s="52">
        <v>109110</v>
      </c>
      <c r="G90" s="19">
        <v>9456127579</v>
      </c>
      <c r="H90" s="701">
        <v>398004</v>
      </c>
      <c r="J90" s="703">
        <f>H90-K90-O90</f>
        <v>391371</v>
      </c>
      <c r="K90" s="704">
        <v>4633</v>
      </c>
      <c r="L90" s="705">
        <v>6633</v>
      </c>
      <c r="M90" s="441" t="s">
        <v>133</v>
      </c>
      <c r="N90" s="718">
        <v>45344</v>
      </c>
      <c r="O90" s="205">
        <v>2000</v>
      </c>
      <c r="Q90" s="318"/>
      <c r="R90" s="718"/>
      <c r="T90" s="718"/>
      <c r="U90" s="318"/>
      <c r="V90" s="244"/>
      <c r="W90" s="318"/>
      <c r="X90" s="244"/>
      <c r="Y90" s="318"/>
      <c r="Z90" s="244"/>
      <c r="AA90" s="318"/>
      <c r="AB90" s="244"/>
      <c r="AC90" s="318"/>
      <c r="AD90" s="244"/>
      <c r="AE90" s="318"/>
      <c r="AF90" s="244"/>
      <c r="AG90" s="318"/>
      <c r="AH90" s="244"/>
      <c r="AI90" s="318"/>
      <c r="AJ90" s="244"/>
    </row>
    <row r="91" spans="1:37">
      <c r="B91" s="741" t="s">
        <v>25</v>
      </c>
      <c r="C91" s="234">
        <v>45336</v>
      </c>
      <c r="D91" s="711" t="s">
        <v>608</v>
      </c>
      <c r="E91" s="262">
        <v>200</v>
      </c>
      <c r="F91" s="3">
        <v>30</v>
      </c>
      <c r="G91" s="19">
        <v>9279206148</v>
      </c>
      <c r="H91" s="701">
        <v>265336</v>
      </c>
      <c r="J91" s="703">
        <f>H91-K91</f>
        <v>260886</v>
      </c>
      <c r="K91" s="704">
        <v>4450</v>
      </c>
      <c r="L91" s="705">
        <v>4422</v>
      </c>
      <c r="M91" s="441" t="s">
        <v>133</v>
      </c>
      <c r="N91" s="718"/>
      <c r="O91" s="205"/>
      <c r="Q91" s="318"/>
      <c r="R91" s="718"/>
      <c r="T91" s="718"/>
      <c r="U91" s="318"/>
      <c r="V91" s="244"/>
      <c r="W91" s="318"/>
      <c r="X91" s="244"/>
      <c r="Y91" s="318"/>
      <c r="Z91" s="244"/>
      <c r="AA91" s="318"/>
      <c r="AB91" s="244"/>
      <c r="AC91" s="318"/>
      <c r="AD91" s="244"/>
      <c r="AE91" s="318"/>
      <c r="AF91" s="244"/>
      <c r="AG91" s="318"/>
      <c r="AH91" s="244"/>
      <c r="AI91" s="318"/>
      <c r="AJ91" s="244"/>
    </row>
    <row r="92" spans="1:37">
      <c r="B92" s="724"/>
      <c r="C92" s="234">
        <v>45404</v>
      </c>
      <c r="D92" s="717" t="s">
        <v>609</v>
      </c>
      <c r="E92" s="262">
        <v>100</v>
      </c>
      <c r="F92" s="3">
        <v>75</v>
      </c>
      <c r="G92" s="19">
        <v>9355575293</v>
      </c>
      <c r="H92" s="701">
        <v>68000</v>
      </c>
      <c r="M92" s="441" t="s">
        <v>16</v>
      </c>
      <c r="N92" s="718"/>
      <c r="O92" s="205"/>
      <c r="Q92" s="318"/>
      <c r="R92" s="718"/>
      <c r="T92" s="718"/>
      <c r="U92" s="318"/>
      <c r="V92" s="244"/>
      <c r="W92" s="318"/>
      <c r="X92" s="244"/>
      <c r="Y92" s="318"/>
      <c r="Z92" s="244"/>
      <c r="AA92" s="318"/>
      <c r="AB92" s="244"/>
      <c r="AC92" s="318"/>
      <c r="AD92" s="244"/>
      <c r="AE92" s="318"/>
      <c r="AF92" s="244"/>
      <c r="AG92" s="318"/>
      <c r="AH92" s="244"/>
      <c r="AI92" s="318"/>
      <c r="AJ92" s="244"/>
    </row>
    <row r="93" spans="1:37">
      <c r="B93" s="724"/>
      <c r="C93" s="234">
        <v>45404</v>
      </c>
      <c r="D93" s="711" t="s">
        <v>610</v>
      </c>
      <c r="E93" s="262">
        <v>100</v>
      </c>
      <c r="F93" s="262">
        <v>38</v>
      </c>
      <c r="G93" s="19">
        <v>9355575293</v>
      </c>
      <c r="H93" s="701">
        <v>68000</v>
      </c>
      <c r="M93" s="441" t="s">
        <v>16</v>
      </c>
      <c r="N93" s="718"/>
      <c r="O93" s="205"/>
      <c r="Q93" s="318"/>
      <c r="R93" s="718"/>
      <c r="T93" s="718"/>
      <c r="U93" s="318"/>
      <c r="V93" s="244"/>
      <c r="W93" s="318"/>
      <c r="X93" s="244"/>
      <c r="Y93" s="318"/>
      <c r="Z93" s="244"/>
      <c r="AA93" s="318"/>
      <c r="AB93" s="244"/>
      <c r="AC93" s="318"/>
      <c r="AD93" s="244"/>
      <c r="AE93" s="318"/>
      <c r="AF93" s="244"/>
      <c r="AG93" s="318"/>
      <c r="AH93" s="244"/>
      <c r="AI93" s="318"/>
      <c r="AJ93" s="244"/>
    </row>
    <row r="94" spans="1:37">
      <c r="B94" s="742" t="s">
        <v>419</v>
      </c>
      <c r="C94" s="234">
        <v>45379</v>
      </c>
      <c r="D94" s="717" t="s">
        <v>611</v>
      </c>
      <c r="E94" s="262">
        <v>200</v>
      </c>
      <c r="F94" s="262">
        <v>7</v>
      </c>
      <c r="H94" s="701">
        <v>176000</v>
      </c>
      <c r="J94" s="703">
        <f>H94-K94</f>
        <v>171000</v>
      </c>
      <c r="K94" s="704">
        <v>5000</v>
      </c>
      <c r="M94" s="441" t="s">
        <v>16</v>
      </c>
      <c r="N94" s="718"/>
      <c r="O94" s="205"/>
      <c r="Q94" s="318"/>
      <c r="R94" s="718"/>
      <c r="T94" s="718"/>
      <c r="U94" s="318"/>
      <c r="V94" s="244"/>
      <c r="W94" s="318"/>
      <c r="X94" s="244"/>
      <c r="Y94" s="318"/>
      <c r="Z94" s="244"/>
      <c r="AA94" s="318"/>
      <c r="AB94" s="244"/>
      <c r="AC94" s="318"/>
      <c r="AD94" s="244"/>
      <c r="AE94" s="318"/>
      <c r="AF94" s="244"/>
      <c r="AG94" s="318"/>
      <c r="AH94" s="244"/>
      <c r="AI94" s="318"/>
      <c r="AJ94" s="244"/>
    </row>
    <row r="95" spans="1:37">
      <c r="B95" s="724"/>
      <c r="C95" s="234">
        <v>45331</v>
      </c>
      <c r="D95" s="711" t="s">
        <v>612</v>
      </c>
      <c r="E95" s="262"/>
      <c r="K95" s="704">
        <v>2000</v>
      </c>
      <c r="N95" s="718"/>
      <c r="O95" s="205"/>
      <c r="Q95" s="318"/>
      <c r="R95" s="718"/>
      <c r="T95" s="718"/>
      <c r="U95" s="318"/>
      <c r="V95" s="244"/>
      <c r="W95" s="318"/>
      <c r="X95" s="244"/>
      <c r="Y95" s="318"/>
      <c r="Z95" s="244"/>
      <c r="AA95" s="318"/>
      <c r="AB95" s="244"/>
      <c r="AC95" s="318"/>
      <c r="AD95" s="244"/>
      <c r="AE95" s="318"/>
      <c r="AF95" s="244"/>
      <c r="AG95" s="318"/>
      <c r="AH95" s="244"/>
      <c r="AI95" s="318"/>
      <c r="AJ95" s="244"/>
    </row>
    <row r="96" spans="1:37">
      <c r="B96" s="743" t="s">
        <v>538</v>
      </c>
      <c r="C96" s="234">
        <v>45339</v>
      </c>
      <c r="D96" s="711" t="s">
        <v>613</v>
      </c>
      <c r="E96" s="262">
        <v>100</v>
      </c>
      <c r="F96" s="262">
        <v>72</v>
      </c>
      <c r="G96" s="19">
        <v>9367944637</v>
      </c>
      <c r="H96" s="701">
        <v>132668</v>
      </c>
      <c r="J96" s="703">
        <f t="shared" ref="J96:J105" si="2">H96-K96</f>
        <v>130468</v>
      </c>
      <c r="K96" s="704">
        <v>2200</v>
      </c>
      <c r="L96" s="705">
        <v>2211</v>
      </c>
      <c r="M96" s="441" t="s">
        <v>133</v>
      </c>
      <c r="N96" s="718"/>
      <c r="O96" s="205"/>
      <c r="Q96" s="318"/>
      <c r="R96" s="718"/>
      <c r="T96" s="718"/>
      <c r="U96" s="318"/>
      <c r="V96" s="244"/>
      <c r="W96" s="318"/>
      <c r="X96" s="244"/>
      <c r="Y96" s="318"/>
      <c r="Z96" s="244"/>
      <c r="AA96" s="318"/>
      <c r="AB96" s="244"/>
      <c r="AC96" s="318"/>
      <c r="AD96" s="244"/>
      <c r="AE96" s="318"/>
      <c r="AF96" s="244"/>
      <c r="AG96" s="318"/>
      <c r="AH96" s="244"/>
      <c r="AI96" s="318"/>
      <c r="AJ96" s="244"/>
    </row>
    <row r="97" spans="2:36">
      <c r="B97" s="724" t="s">
        <v>25</v>
      </c>
      <c r="C97" s="234">
        <v>45331</v>
      </c>
      <c r="D97" s="711" t="s">
        <v>614</v>
      </c>
      <c r="E97" s="262">
        <v>199</v>
      </c>
      <c r="F97" s="262">
        <v>32</v>
      </c>
      <c r="G97" s="19">
        <v>9102543791</v>
      </c>
      <c r="H97" s="701">
        <v>218900</v>
      </c>
      <c r="J97" s="703">
        <f t="shared" si="2"/>
        <v>212800</v>
      </c>
      <c r="K97" s="704">
        <v>6100</v>
      </c>
      <c r="L97" s="705">
        <v>6081</v>
      </c>
      <c r="M97" s="441" t="s">
        <v>69</v>
      </c>
      <c r="N97" s="718"/>
      <c r="O97" s="205"/>
      <c r="Q97" s="318"/>
      <c r="R97" s="718"/>
      <c r="T97" s="718"/>
      <c r="U97" s="318"/>
      <c r="V97" s="244"/>
      <c r="W97" s="318"/>
      <c r="X97" s="244"/>
      <c r="Y97" s="318"/>
      <c r="Z97" s="244"/>
      <c r="AA97" s="318"/>
      <c r="AB97" s="244"/>
      <c r="AC97" s="318"/>
      <c r="AD97" s="244"/>
      <c r="AE97" s="318"/>
      <c r="AF97" s="244"/>
      <c r="AG97" s="318"/>
      <c r="AH97" s="244"/>
      <c r="AI97" s="318"/>
      <c r="AJ97" s="244"/>
    </row>
    <row r="98" spans="2:36">
      <c r="B98" s="744" t="s">
        <v>419</v>
      </c>
      <c r="C98" s="234">
        <v>45337</v>
      </c>
      <c r="D98" s="711" t="s">
        <v>615</v>
      </c>
      <c r="E98" s="262">
        <v>100</v>
      </c>
      <c r="F98" s="3">
        <v>78</v>
      </c>
      <c r="G98" s="19">
        <v>9263766711</v>
      </c>
      <c r="H98" s="701">
        <v>110000</v>
      </c>
      <c r="J98" s="703">
        <f>H98-K98-O98</f>
        <v>104000</v>
      </c>
      <c r="K98" s="704">
        <v>3000</v>
      </c>
      <c r="L98" s="705">
        <v>3056</v>
      </c>
      <c r="M98" s="441" t="s">
        <v>69</v>
      </c>
      <c r="N98" s="718">
        <v>45363</v>
      </c>
      <c r="O98" s="205">
        <v>3000</v>
      </c>
      <c r="Q98" s="318"/>
      <c r="R98" s="718"/>
      <c r="T98" s="718"/>
      <c r="U98" s="318"/>
      <c r="V98" s="244"/>
      <c r="W98" s="318"/>
      <c r="X98" s="244"/>
      <c r="Y98" s="318"/>
      <c r="Z98" s="244"/>
      <c r="AA98" s="318"/>
      <c r="AB98" s="244"/>
      <c r="AC98" s="318"/>
      <c r="AD98" s="244"/>
      <c r="AE98" s="318"/>
      <c r="AF98" s="244"/>
      <c r="AG98" s="318"/>
      <c r="AH98" s="244"/>
      <c r="AI98" s="318"/>
      <c r="AJ98" s="244"/>
    </row>
    <row r="99" spans="2:36">
      <c r="B99" s="724"/>
      <c r="C99" s="234">
        <v>45351</v>
      </c>
      <c r="D99" s="711" t="s">
        <v>616</v>
      </c>
      <c r="E99" s="262">
        <v>100</v>
      </c>
      <c r="F99" s="3">
        <v>71</v>
      </c>
      <c r="G99" s="19">
        <v>9289593356</v>
      </c>
      <c r="H99" s="701">
        <v>87334</v>
      </c>
      <c r="J99" s="703">
        <f>H99-K99-O99</f>
        <v>74834</v>
      </c>
      <c r="K99" s="704">
        <v>5000</v>
      </c>
      <c r="L99" s="705">
        <v>7278</v>
      </c>
      <c r="M99" s="441" t="s">
        <v>66</v>
      </c>
      <c r="N99" s="718">
        <v>45383</v>
      </c>
      <c r="O99" s="205">
        <v>7500</v>
      </c>
      <c r="Q99" s="318"/>
      <c r="R99" s="718"/>
      <c r="T99" s="718"/>
      <c r="U99" s="318"/>
      <c r="V99" s="244"/>
      <c r="W99" s="318"/>
      <c r="X99" s="244"/>
      <c r="Y99" s="318"/>
      <c r="Z99" s="244"/>
      <c r="AA99" s="318"/>
      <c r="AB99" s="244"/>
      <c r="AC99" s="318"/>
      <c r="AD99" s="244"/>
      <c r="AE99" s="318"/>
      <c r="AF99" s="244"/>
      <c r="AG99" s="318"/>
      <c r="AH99" s="244"/>
      <c r="AI99" s="318"/>
      <c r="AJ99" s="244"/>
    </row>
    <row r="100" spans="2:36">
      <c r="B100" s="741" t="s">
        <v>25</v>
      </c>
      <c r="C100" s="234">
        <v>45355</v>
      </c>
      <c r="D100" s="711" t="s">
        <v>617</v>
      </c>
      <c r="E100" s="262">
        <v>100</v>
      </c>
      <c r="G100" s="19">
        <v>9308158472</v>
      </c>
      <c r="K100" s="704">
        <v>10000</v>
      </c>
      <c r="N100" s="718"/>
      <c r="O100" s="205"/>
      <c r="Q100" s="318"/>
      <c r="R100" s="718"/>
      <c r="T100" s="718"/>
      <c r="U100" s="318"/>
      <c r="V100" s="244"/>
      <c r="W100" s="318"/>
      <c r="X100" s="244"/>
      <c r="Y100" s="318"/>
      <c r="Z100" s="244"/>
      <c r="AA100" s="318"/>
      <c r="AB100" s="244"/>
      <c r="AC100" s="318"/>
      <c r="AD100" s="244"/>
      <c r="AE100" s="318"/>
      <c r="AF100" s="244"/>
      <c r="AG100" s="318"/>
      <c r="AH100" s="244"/>
      <c r="AI100" s="318"/>
      <c r="AJ100" s="244"/>
    </row>
    <row r="101" spans="2:36">
      <c r="B101" s="743" t="s">
        <v>538</v>
      </c>
      <c r="C101" s="234">
        <v>45351</v>
      </c>
      <c r="D101" s="711" t="s">
        <v>618</v>
      </c>
      <c r="E101" s="262">
        <v>200</v>
      </c>
      <c r="F101" s="262">
        <v>20</v>
      </c>
      <c r="G101" s="19">
        <v>9050254609</v>
      </c>
      <c r="H101" s="701">
        <v>288000</v>
      </c>
      <c r="J101" s="703">
        <f t="shared" si="2"/>
        <v>284000</v>
      </c>
      <c r="K101" s="704">
        <v>4000</v>
      </c>
      <c r="L101" s="705">
        <v>4000</v>
      </c>
      <c r="M101" s="441" t="s">
        <v>175</v>
      </c>
      <c r="N101" s="718"/>
      <c r="O101" s="205"/>
      <c r="Q101" s="318"/>
      <c r="R101" s="718"/>
      <c r="T101" s="718"/>
      <c r="U101" s="318"/>
      <c r="V101" s="244"/>
      <c r="W101" s="318"/>
      <c r="X101" s="244"/>
      <c r="Y101" s="318"/>
      <c r="Z101" s="244"/>
      <c r="AA101" s="318"/>
      <c r="AB101" s="244"/>
      <c r="AC101" s="318"/>
      <c r="AD101" s="244"/>
      <c r="AE101" s="318"/>
      <c r="AF101" s="244"/>
      <c r="AG101" s="318"/>
      <c r="AH101" s="244"/>
      <c r="AI101" s="318"/>
      <c r="AJ101" s="244"/>
    </row>
    <row r="102" spans="2:36">
      <c r="B102" s="724"/>
      <c r="C102" s="234">
        <v>45339</v>
      </c>
      <c r="D102" s="745" t="s">
        <v>619</v>
      </c>
      <c r="E102" s="262">
        <v>100</v>
      </c>
      <c r="H102" s="701">
        <v>110000</v>
      </c>
      <c r="L102" s="705">
        <v>3056</v>
      </c>
      <c r="M102" s="441" t="s">
        <v>306</v>
      </c>
      <c r="N102" s="718"/>
      <c r="O102" s="205"/>
      <c r="Q102" s="318"/>
      <c r="R102" s="718"/>
      <c r="T102" s="718"/>
      <c r="U102" s="318"/>
      <c r="V102" s="244"/>
      <c r="W102" s="318"/>
      <c r="X102" s="244"/>
      <c r="Y102" s="318"/>
      <c r="Z102" s="244"/>
      <c r="AA102" s="318"/>
      <c r="AB102" s="244"/>
      <c r="AC102" s="318"/>
      <c r="AD102" s="244"/>
      <c r="AE102" s="318"/>
      <c r="AF102" s="244"/>
      <c r="AG102" s="318"/>
      <c r="AH102" s="244"/>
      <c r="AI102" s="318"/>
      <c r="AJ102" s="244"/>
    </row>
    <row r="103" spans="2:36">
      <c r="B103" s="724"/>
      <c r="C103" s="234">
        <v>45343</v>
      </c>
      <c r="D103" s="711" t="s">
        <v>620</v>
      </c>
      <c r="E103" s="262">
        <v>200</v>
      </c>
      <c r="F103" s="3" t="s">
        <v>621</v>
      </c>
      <c r="H103" s="701">
        <v>220000</v>
      </c>
      <c r="J103" s="703">
        <f t="shared" si="2"/>
        <v>216944</v>
      </c>
      <c r="K103" s="704">
        <v>3056</v>
      </c>
      <c r="M103" s="441" t="s">
        <v>69</v>
      </c>
      <c r="N103" s="718">
        <v>45343</v>
      </c>
      <c r="O103" s="205">
        <v>3056</v>
      </c>
      <c r="Q103" s="318"/>
      <c r="R103" s="718"/>
      <c r="T103" s="718"/>
      <c r="U103" s="318"/>
      <c r="V103" s="244"/>
      <c r="W103" s="318"/>
      <c r="X103" s="244"/>
      <c r="Y103" s="318"/>
      <c r="Z103" s="244"/>
      <c r="AA103" s="318"/>
      <c r="AB103" s="244"/>
      <c r="AC103" s="318"/>
      <c r="AD103" s="244"/>
      <c r="AE103" s="318"/>
      <c r="AF103" s="244"/>
      <c r="AG103" s="318"/>
      <c r="AH103" s="244"/>
      <c r="AI103" s="318"/>
      <c r="AJ103" s="244"/>
    </row>
    <row r="104" spans="2:36">
      <c r="B104" s="741" t="s">
        <v>25</v>
      </c>
      <c r="C104" s="234">
        <v>45351</v>
      </c>
      <c r="D104" s="711" t="s">
        <v>622</v>
      </c>
      <c r="E104" s="262">
        <v>100</v>
      </c>
      <c r="F104" s="3">
        <v>117</v>
      </c>
      <c r="G104" s="19">
        <v>9066107156</v>
      </c>
      <c r="H104" s="701">
        <v>144000</v>
      </c>
      <c r="J104" s="703">
        <f>H104-K104-O104</f>
        <v>140000</v>
      </c>
      <c r="K104" s="704">
        <v>2000</v>
      </c>
      <c r="L104" s="705">
        <v>2000</v>
      </c>
      <c r="M104" s="441" t="s">
        <v>175</v>
      </c>
      <c r="N104" s="718">
        <v>45383</v>
      </c>
      <c r="O104" s="205">
        <v>2000</v>
      </c>
      <c r="Q104" s="318"/>
      <c r="R104" s="718"/>
      <c r="T104" s="718"/>
      <c r="U104" s="318"/>
      <c r="V104" s="244"/>
      <c r="W104" s="318"/>
      <c r="X104" s="244"/>
      <c r="Y104" s="318"/>
      <c r="Z104" s="244"/>
      <c r="AA104" s="318"/>
      <c r="AB104" s="244"/>
      <c r="AC104" s="318"/>
      <c r="AD104" s="244"/>
      <c r="AE104" s="318"/>
      <c r="AF104" s="244"/>
      <c r="AG104" s="318"/>
      <c r="AH104" s="244"/>
      <c r="AI104" s="318"/>
      <c r="AJ104" s="244"/>
    </row>
    <row r="105" spans="2:36">
      <c r="B105" s="741" t="s">
        <v>25</v>
      </c>
      <c r="C105" s="234">
        <v>45351</v>
      </c>
      <c r="D105" s="711" t="s">
        <v>623</v>
      </c>
      <c r="E105" s="262">
        <v>100</v>
      </c>
      <c r="F105" s="3">
        <v>119</v>
      </c>
      <c r="G105" s="19">
        <v>9975247897</v>
      </c>
      <c r="H105" s="701">
        <v>144000</v>
      </c>
      <c r="J105" s="703">
        <f t="shared" si="2"/>
        <v>142000</v>
      </c>
      <c r="K105" s="704">
        <v>2000</v>
      </c>
      <c r="L105" s="705">
        <v>2000</v>
      </c>
      <c r="M105" s="441" t="s">
        <v>175</v>
      </c>
      <c r="N105" s="718"/>
      <c r="O105" s="205"/>
      <c r="Q105" s="318"/>
      <c r="R105" s="718"/>
      <c r="T105" s="718"/>
      <c r="U105" s="318"/>
      <c r="V105" s="244"/>
      <c r="W105" s="318"/>
      <c r="X105" s="244"/>
      <c r="Y105" s="318"/>
      <c r="Z105" s="244"/>
      <c r="AA105" s="318"/>
      <c r="AB105" s="244"/>
      <c r="AC105" s="318"/>
      <c r="AD105" s="244"/>
      <c r="AE105" s="318"/>
      <c r="AF105" s="244"/>
      <c r="AG105" s="318"/>
      <c r="AH105" s="244"/>
      <c r="AI105" s="318"/>
      <c r="AJ105" s="244"/>
    </row>
    <row r="106" spans="2:36">
      <c r="B106" s="742" t="s">
        <v>419</v>
      </c>
      <c r="C106" s="234">
        <v>45349</v>
      </c>
      <c r="D106" s="711" t="s">
        <v>624</v>
      </c>
      <c r="E106" s="262">
        <v>100</v>
      </c>
      <c r="F106" s="3">
        <v>83</v>
      </c>
      <c r="G106" s="19">
        <v>9555602255</v>
      </c>
      <c r="H106" s="701">
        <v>144000</v>
      </c>
      <c r="J106" s="703">
        <f>H106-K106-O106</f>
        <v>140000</v>
      </c>
      <c r="K106" s="704">
        <v>2000</v>
      </c>
      <c r="L106" s="705">
        <v>2000</v>
      </c>
      <c r="M106" s="441" t="s">
        <v>175</v>
      </c>
      <c r="N106" s="718">
        <v>45348</v>
      </c>
      <c r="O106" s="205">
        <v>2000</v>
      </c>
      <c r="Q106" s="318"/>
      <c r="R106" s="718"/>
      <c r="T106" s="718"/>
      <c r="U106" s="318"/>
      <c r="V106" s="244"/>
      <c r="W106" s="318"/>
      <c r="X106" s="244"/>
      <c r="Y106" s="318"/>
      <c r="Z106" s="244"/>
      <c r="AA106" s="318"/>
      <c r="AB106" s="244"/>
      <c r="AC106" s="318"/>
      <c r="AD106" s="244"/>
      <c r="AE106" s="318"/>
      <c r="AF106" s="244"/>
      <c r="AG106" s="318"/>
      <c r="AH106" s="244"/>
      <c r="AI106" s="318"/>
      <c r="AJ106" s="244"/>
    </row>
    <row r="107" spans="2:36">
      <c r="B107" s="724"/>
      <c r="C107" s="234">
        <v>45355</v>
      </c>
      <c r="D107" s="711" t="s">
        <v>625</v>
      </c>
      <c r="E107" s="262"/>
      <c r="K107" s="704">
        <v>2000</v>
      </c>
      <c r="N107" s="718">
        <v>45377</v>
      </c>
      <c r="O107" s="205">
        <v>4000</v>
      </c>
      <c r="Q107" s="318"/>
      <c r="R107" s="718"/>
      <c r="T107" s="718"/>
      <c r="U107" s="318"/>
      <c r="V107" s="244"/>
      <c r="W107" s="318"/>
      <c r="X107" s="244"/>
      <c r="Y107" s="318"/>
      <c r="Z107" s="244"/>
      <c r="AA107" s="318"/>
      <c r="AB107" s="244"/>
      <c r="AC107" s="318"/>
      <c r="AD107" s="244"/>
      <c r="AE107" s="318"/>
      <c r="AF107" s="244"/>
      <c r="AG107" s="318"/>
      <c r="AH107" s="244"/>
      <c r="AI107" s="318"/>
      <c r="AJ107" s="244"/>
    </row>
    <row r="108" spans="2:36">
      <c r="B108" s="724" t="s">
        <v>626</v>
      </c>
      <c r="C108" s="234">
        <v>45350</v>
      </c>
      <c r="D108" s="711" t="s">
        <v>627</v>
      </c>
      <c r="E108" s="262">
        <v>200</v>
      </c>
      <c r="F108" s="3" t="s">
        <v>628</v>
      </c>
      <c r="G108" s="19">
        <v>9647646343</v>
      </c>
      <c r="H108" s="701">
        <v>136000</v>
      </c>
      <c r="J108" s="703">
        <f>H108-K108-O108</f>
        <v>106000</v>
      </c>
      <c r="K108" s="704">
        <v>4000</v>
      </c>
      <c r="M108" s="441" t="s">
        <v>629</v>
      </c>
      <c r="N108" s="718">
        <v>45357</v>
      </c>
      <c r="O108" s="205">
        <v>26000</v>
      </c>
      <c r="Q108" s="318"/>
      <c r="R108" s="718"/>
      <c r="T108" s="718"/>
      <c r="U108" s="318"/>
      <c r="V108" s="244"/>
      <c r="W108" s="318"/>
      <c r="X108" s="244"/>
      <c r="Y108" s="318"/>
      <c r="Z108" s="244"/>
      <c r="AA108" s="318"/>
      <c r="AB108" s="244"/>
      <c r="AC108" s="318"/>
      <c r="AD108" s="244"/>
      <c r="AE108" s="318"/>
      <c r="AF108" s="244"/>
      <c r="AG108" s="318"/>
      <c r="AH108" s="244"/>
      <c r="AI108" s="318"/>
      <c r="AJ108" s="244"/>
    </row>
    <row r="109" spans="2:36">
      <c r="B109" s="741" t="s">
        <v>25</v>
      </c>
      <c r="C109" s="234">
        <v>45344</v>
      </c>
      <c r="D109" s="711" t="s">
        <v>630</v>
      </c>
      <c r="E109" s="262">
        <v>100</v>
      </c>
      <c r="F109" s="3">
        <v>104</v>
      </c>
      <c r="G109" s="19">
        <v>9652665684</v>
      </c>
      <c r="H109" s="701">
        <v>144000</v>
      </c>
      <c r="J109" s="703">
        <f>H109-K109-O109</f>
        <v>140000</v>
      </c>
      <c r="K109" s="704">
        <v>2000</v>
      </c>
      <c r="L109" s="705">
        <v>2000</v>
      </c>
      <c r="M109" s="441" t="s">
        <v>175</v>
      </c>
      <c r="N109" s="718">
        <v>45383</v>
      </c>
      <c r="O109" s="205">
        <v>2000</v>
      </c>
      <c r="Q109" s="318"/>
      <c r="R109" s="718"/>
      <c r="T109" s="718"/>
      <c r="U109" s="318"/>
      <c r="V109" s="244"/>
      <c r="W109" s="318"/>
      <c r="X109" s="244"/>
      <c r="Y109" s="318"/>
      <c r="Z109" s="244"/>
      <c r="AA109" s="318"/>
      <c r="AB109" s="244"/>
      <c r="AC109" s="318"/>
      <c r="AD109" s="244"/>
      <c r="AE109" s="318"/>
      <c r="AF109" s="244"/>
      <c r="AG109" s="318"/>
      <c r="AH109" s="244"/>
      <c r="AI109" s="318"/>
      <c r="AJ109" s="244"/>
    </row>
    <row r="110" spans="2:36">
      <c r="B110" s="724"/>
      <c r="C110" s="234">
        <v>45350</v>
      </c>
      <c r="D110" s="711" t="s">
        <v>631</v>
      </c>
      <c r="E110" s="262"/>
      <c r="K110" s="704">
        <v>2700</v>
      </c>
      <c r="N110" s="718"/>
      <c r="O110" s="205"/>
      <c r="Q110" s="318"/>
      <c r="R110" s="718"/>
      <c r="T110" s="718"/>
      <c r="U110" s="318"/>
      <c r="V110" s="244"/>
      <c r="W110" s="318"/>
      <c r="X110" s="244"/>
      <c r="Y110" s="318"/>
      <c r="Z110" s="244"/>
      <c r="AA110" s="318"/>
      <c r="AB110" s="244"/>
      <c r="AC110" s="318"/>
      <c r="AD110" s="244"/>
      <c r="AE110" s="318"/>
      <c r="AF110" s="244"/>
      <c r="AG110" s="318"/>
      <c r="AH110" s="244"/>
      <c r="AI110" s="318"/>
      <c r="AJ110" s="244"/>
    </row>
    <row r="111" spans="2:36">
      <c r="B111" s="724"/>
      <c r="C111" s="234">
        <v>45363</v>
      </c>
      <c r="D111" s="711" t="s">
        <v>632</v>
      </c>
      <c r="E111" s="262">
        <v>100</v>
      </c>
      <c r="F111" s="3">
        <v>98</v>
      </c>
      <c r="H111" s="701">
        <v>110000</v>
      </c>
      <c r="L111" s="705">
        <v>3056</v>
      </c>
      <c r="M111" s="441" t="s">
        <v>69</v>
      </c>
      <c r="N111" s="718"/>
      <c r="O111" s="205"/>
      <c r="Q111" s="318"/>
      <c r="R111" s="718"/>
      <c r="T111" s="718"/>
      <c r="U111" s="318"/>
      <c r="V111" s="244"/>
      <c r="W111" s="318"/>
      <c r="X111" s="244"/>
      <c r="Y111" s="318"/>
      <c r="Z111" s="244"/>
      <c r="AA111" s="318"/>
      <c r="AB111" s="244"/>
      <c r="AC111" s="318"/>
      <c r="AD111" s="244"/>
      <c r="AE111" s="318"/>
      <c r="AF111" s="244"/>
      <c r="AG111" s="318"/>
      <c r="AH111" s="244"/>
      <c r="AI111" s="318"/>
      <c r="AJ111" s="244"/>
    </row>
    <row r="112" spans="2:36">
      <c r="B112" s="724"/>
      <c r="C112" s="234">
        <v>45336</v>
      </c>
      <c r="D112" s="711" t="s">
        <v>633</v>
      </c>
      <c r="E112" s="262">
        <v>100</v>
      </c>
      <c r="F112" s="3">
        <v>89</v>
      </c>
      <c r="G112" s="19">
        <v>9754009701</v>
      </c>
      <c r="H112" s="701">
        <v>110000</v>
      </c>
      <c r="J112" s="703">
        <f>H112-K112-O112</f>
        <v>97000</v>
      </c>
      <c r="K112" s="704">
        <v>10000</v>
      </c>
      <c r="L112" s="705">
        <v>3056</v>
      </c>
      <c r="M112" s="441" t="s">
        <v>69</v>
      </c>
      <c r="N112" s="718">
        <v>45373</v>
      </c>
      <c r="O112" s="205">
        <v>3000</v>
      </c>
      <c r="Q112" s="318"/>
      <c r="R112" s="718"/>
      <c r="T112" s="718"/>
      <c r="U112" s="318"/>
      <c r="V112" s="244"/>
      <c r="W112" s="318"/>
      <c r="X112" s="244"/>
      <c r="Y112" s="318"/>
      <c r="Z112" s="244"/>
      <c r="AA112" s="318"/>
      <c r="AB112" s="244"/>
      <c r="AC112" s="318"/>
      <c r="AD112" s="244"/>
      <c r="AE112" s="318"/>
      <c r="AF112" s="244"/>
      <c r="AG112" s="318"/>
      <c r="AH112" s="244"/>
      <c r="AI112" s="318"/>
      <c r="AJ112" s="244"/>
    </row>
    <row r="113" spans="1:36">
      <c r="B113" s="724"/>
      <c r="C113" s="234">
        <v>45336</v>
      </c>
      <c r="D113" s="711" t="s">
        <v>633</v>
      </c>
      <c r="E113" s="262">
        <v>100</v>
      </c>
      <c r="F113" s="3">
        <v>90</v>
      </c>
      <c r="G113" s="19">
        <v>9754009701</v>
      </c>
      <c r="H113" s="701">
        <v>68000</v>
      </c>
      <c r="I113" s="702">
        <v>68000</v>
      </c>
      <c r="J113" s="703">
        <f>H113-I113</f>
        <v>0</v>
      </c>
      <c r="K113" s="704">
        <v>58000</v>
      </c>
      <c r="M113" s="441" t="s">
        <v>16</v>
      </c>
      <c r="N113" s="718"/>
      <c r="O113" s="205"/>
      <c r="Q113" s="318"/>
      <c r="R113" s="718"/>
      <c r="T113" s="718"/>
      <c r="U113" s="318"/>
      <c r="V113" s="244"/>
      <c r="W113" s="318"/>
      <c r="X113" s="244"/>
      <c r="Y113" s="318"/>
      <c r="Z113" s="244"/>
      <c r="AA113" s="318"/>
      <c r="AB113" s="244"/>
      <c r="AC113" s="318"/>
      <c r="AD113" s="244"/>
      <c r="AE113" s="318"/>
      <c r="AF113" s="244"/>
      <c r="AG113" s="318"/>
      <c r="AH113" s="244"/>
      <c r="AI113" s="318"/>
      <c r="AJ113" s="244"/>
    </row>
    <row r="114" spans="1:36" s="795" customFormat="1">
      <c r="A114" s="781"/>
      <c r="B114" s="782"/>
      <c r="C114" s="783"/>
      <c r="D114" s="796" t="s">
        <v>672</v>
      </c>
      <c r="E114" s="784"/>
      <c r="F114" s="767"/>
      <c r="G114" s="781"/>
      <c r="H114" s="785"/>
      <c r="I114" s="786"/>
      <c r="J114" s="787"/>
      <c r="K114" s="788"/>
      <c r="L114" s="789"/>
      <c r="M114" s="790"/>
      <c r="N114" s="791">
        <v>45831</v>
      </c>
      <c r="O114" s="792">
        <v>21000</v>
      </c>
      <c r="P114" s="797" t="s">
        <v>17</v>
      </c>
      <c r="Q114" s="321">
        <v>1000</v>
      </c>
      <c r="R114" s="791"/>
      <c r="S114" s="793"/>
      <c r="T114" s="791"/>
      <c r="U114" s="793"/>
      <c r="V114" s="794"/>
      <c r="W114" s="793"/>
      <c r="X114" s="794"/>
      <c r="Y114" s="793"/>
      <c r="Z114" s="794"/>
      <c r="AA114" s="793"/>
      <c r="AB114" s="794"/>
      <c r="AC114" s="793"/>
      <c r="AD114" s="794"/>
      <c r="AE114" s="793"/>
      <c r="AF114" s="794"/>
      <c r="AG114" s="793"/>
      <c r="AH114" s="794"/>
      <c r="AI114" s="793"/>
      <c r="AJ114" s="794"/>
    </row>
    <row r="115" spans="1:36">
      <c r="B115" s="742" t="s">
        <v>419</v>
      </c>
      <c r="C115" s="234">
        <v>45352</v>
      </c>
      <c r="D115" s="711" t="s">
        <v>634</v>
      </c>
      <c r="E115" s="262">
        <v>400</v>
      </c>
      <c r="F115" s="3" t="s">
        <v>635</v>
      </c>
      <c r="G115" s="19">
        <v>9977640606</v>
      </c>
      <c r="K115" s="704">
        <v>2000</v>
      </c>
      <c r="N115" s="718"/>
      <c r="O115" s="205"/>
      <c r="Q115" s="318"/>
      <c r="R115" s="718"/>
      <c r="T115" s="718"/>
      <c r="U115" s="318"/>
      <c r="V115" s="244"/>
      <c r="W115" s="318"/>
      <c r="X115" s="244"/>
      <c r="Y115" s="318"/>
      <c r="Z115" s="244"/>
      <c r="AA115" s="318"/>
      <c r="AB115" s="244"/>
      <c r="AC115" s="318"/>
      <c r="AD115" s="244"/>
      <c r="AE115" s="318"/>
      <c r="AF115" s="244"/>
      <c r="AG115" s="318"/>
      <c r="AH115" s="244"/>
      <c r="AI115" s="318"/>
      <c r="AJ115" s="244"/>
    </row>
    <row r="116" spans="1:36">
      <c r="B116" s="742" t="s">
        <v>419</v>
      </c>
      <c r="C116" s="234"/>
      <c r="D116" s="711" t="s">
        <v>636</v>
      </c>
      <c r="E116" s="262">
        <v>200</v>
      </c>
      <c r="F116" s="3">
        <v>122</v>
      </c>
      <c r="G116" s="19">
        <v>9126767207</v>
      </c>
      <c r="H116" s="701">
        <v>174000</v>
      </c>
      <c r="M116" s="441" t="s">
        <v>66</v>
      </c>
      <c r="N116" s="718"/>
      <c r="O116" s="205"/>
      <c r="Q116" s="318"/>
      <c r="R116" s="718"/>
      <c r="T116" s="718"/>
      <c r="U116" s="318"/>
      <c r="V116" s="244"/>
      <c r="W116" s="318"/>
      <c r="X116" s="244"/>
      <c r="Y116" s="318"/>
      <c r="Z116" s="244"/>
      <c r="AA116" s="318"/>
      <c r="AB116" s="244"/>
      <c r="AC116" s="318"/>
      <c r="AD116" s="244"/>
      <c r="AE116" s="318"/>
      <c r="AF116" s="244"/>
      <c r="AG116" s="318"/>
      <c r="AH116" s="244"/>
      <c r="AI116" s="318"/>
      <c r="AJ116" s="244"/>
    </row>
    <row r="117" spans="1:36">
      <c r="B117" s="742" t="s">
        <v>419</v>
      </c>
      <c r="C117" s="234"/>
      <c r="D117" s="711" t="s">
        <v>637</v>
      </c>
      <c r="E117" s="262">
        <v>100</v>
      </c>
      <c r="F117" s="262">
        <v>121</v>
      </c>
      <c r="G117" s="19">
        <v>9363785703</v>
      </c>
      <c r="H117" s="701">
        <v>121334</v>
      </c>
      <c r="L117" s="705">
        <v>2528</v>
      </c>
      <c r="M117" s="441" t="s">
        <v>296</v>
      </c>
      <c r="N117" s="718"/>
      <c r="O117" s="205"/>
      <c r="Q117" s="318"/>
      <c r="R117" s="718"/>
      <c r="T117" s="718"/>
      <c r="U117" s="318"/>
      <c r="V117" s="244"/>
      <c r="W117" s="318"/>
      <c r="X117" s="244"/>
      <c r="Y117" s="318"/>
      <c r="Z117" s="244"/>
      <c r="AA117" s="318"/>
      <c r="AB117" s="244"/>
      <c r="AC117" s="318"/>
      <c r="AD117" s="244"/>
      <c r="AE117" s="318"/>
      <c r="AF117" s="244"/>
      <c r="AG117" s="318"/>
      <c r="AH117" s="244"/>
      <c r="AI117" s="318"/>
      <c r="AJ117" s="244"/>
    </row>
    <row r="118" spans="1:36">
      <c r="B118" s="724"/>
      <c r="C118" s="234">
        <v>45334</v>
      </c>
      <c r="D118" s="711" t="s">
        <v>638</v>
      </c>
      <c r="E118" s="262">
        <v>200</v>
      </c>
      <c r="F118" s="3">
        <v>55</v>
      </c>
      <c r="G118" s="19">
        <v>9261719662</v>
      </c>
      <c r="H118" s="701">
        <v>288000</v>
      </c>
      <c r="J118" s="703">
        <f>H118-K118-O118</f>
        <v>280000</v>
      </c>
      <c r="K118" s="704">
        <v>4000</v>
      </c>
      <c r="L118" s="705">
        <v>4000</v>
      </c>
      <c r="M118" s="441" t="s">
        <v>175</v>
      </c>
      <c r="N118" s="718">
        <v>45356</v>
      </c>
      <c r="O118" s="205">
        <v>4000</v>
      </c>
      <c r="Q118" s="318"/>
      <c r="R118" s="718"/>
      <c r="T118" s="718"/>
      <c r="U118" s="318"/>
      <c r="V118" s="244"/>
      <c r="W118" s="318"/>
      <c r="X118" s="244"/>
      <c r="Y118" s="318"/>
      <c r="Z118" s="244"/>
      <c r="AA118" s="318"/>
      <c r="AB118" s="244"/>
      <c r="AC118" s="318"/>
      <c r="AD118" s="244"/>
      <c r="AE118" s="318"/>
      <c r="AF118" s="244"/>
      <c r="AG118" s="318"/>
      <c r="AH118" s="244"/>
      <c r="AI118" s="318"/>
      <c r="AJ118" s="244"/>
    </row>
    <row r="119" spans="1:36">
      <c r="B119" s="724"/>
      <c r="C119" s="234">
        <v>45381</v>
      </c>
      <c r="D119" s="711" t="s">
        <v>639</v>
      </c>
      <c r="E119" s="262"/>
      <c r="K119" s="704">
        <v>5000</v>
      </c>
      <c r="N119" s="718"/>
      <c r="O119" s="205"/>
      <c r="Q119" s="318"/>
      <c r="R119" s="718"/>
      <c r="T119" s="718"/>
      <c r="U119" s="318"/>
      <c r="V119" s="244"/>
      <c r="W119" s="318"/>
      <c r="X119" s="244"/>
      <c r="Y119" s="318"/>
      <c r="Z119" s="244"/>
      <c r="AA119" s="318"/>
      <c r="AB119" s="244"/>
      <c r="AC119" s="318"/>
      <c r="AD119" s="244"/>
      <c r="AE119" s="318"/>
      <c r="AF119" s="244"/>
      <c r="AG119" s="318"/>
      <c r="AH119" s="244"/>
      <c r="AI119" s="318"/>
      <c r="AJ119" s="244"/>
    </row>
    <row r="120" spans="1:36" s="795" customFormat="1">
      <c r="A120" s="781" t="s">
        <v>682</v>
      </c>
      <c r="B120" s="853" t="s">
        <v>675</v>
      </c>
      <c r="C120" s="783">
        <v>45913</v>
      </c>
      <c r="D120" s="807" t="s">
        <v>674</v>
      </c>
      <c r="E120" s="784">
        <v>200</v>
      </c>
      <c r="F120" s="767"/>
      <c r="G120" s="781"/>
      <c r="H120" s="852">
        <v>288000</v>
      </c>
      <c r="I120" s="786">
        <v>4500</v>
      </c>
      <c r="J120" s="787">
        <f>H120-I120-O120-Q120-S120-U120-W120</f>
        <v>258200</v>
      </c>
      <c r="K120" s="788">
        <v>4000</v>
      </c>
      <c r="L120" s="789"/>
      <c r="M120" s="790" t="s">
        <v>175</v>
      </c>
      <c r="N120" s="791">
        <v>45994</v>
      </c>
      <c r="O120" s="792">
        <v>6000</v>
      </c>
      <c r="P120" s="847">
        <v>46049</v>
      </c>
      <c r="Q120" s="793">
        <v>2800</v>
      </c>
      <c r="R120" s="791">
        <v>46051</v>
      </c>
      <c r="S120" s="793">
        <v>9500</v>
      </c>
      <c r="T120" s="791">
        <v>46144</v>
      </c>
      <c r="U120" s="793">
        <v>2000</v>
      </c>
      <c r="V120" s="794">
        <v>46237</v>
      </c>
      <c r="W120" s="793">
        <v>5000</v>
      </c>
      <c r="X120" s="794"/>
      <c r="Y120" s="793"/>
      <c r="Z120" s="794"/>
      <c r="AA120" s="793"/>
      <c r="AB120" s="794"/>
      <c r="AC120" s="793"/>
      <c r="AD120" s="794"/>
      <c r="AE120" s="793"/>
      <c r="AF120" s="794"/>
      <c r="AG120" s="793"/>
      <c r="AH120" s="794"/>
      <c r="AI120" s="793"/>
      <c r="AJ120" s="794"/>
    </row>
    <row r="121" spans="1:36">
      <c r="B121" s="742" t="s">
        <v>419</v>
      </c>
      <c r="C121" s="234">
        <v>45334</v>
      </c>
      <c r="D121" s="711" t="s">
        <v>640</v>
      </c>
      <c r="E121" s="262">
        <v>200</v>
      </c>
      <c r="F121" s="3">
        <v>5</v>
      </c>
      <c r="H121" s="701">
        <v>369600</v>
      </c>
      <c r="J121" s="703">
        <f>H121-K121-O121</f>
        <v>364100</v>
      </c>
      <c r="K121" s="704">
        <v>2500</v>
      </c>
      <c r="M121" s="441" t="s">
        <v>175</v>
      </c>
      <c r="N121" s="718">
        <v>45338</v>
      </c>
      <c r="O121" s="205">
        <v>3000</v>
      </c>
      <c r="Q121" s="318"/>
      <c r="R121" s="718"/>
      <c r="T121" s="718"/>
      <c r="U121" s="318"/>
      <c r="V121" s="244"/>
      <c r="W121" s="318"/>
      <c r="X121" s="244"/>
      <c r="Y121" s="318"/>
      <c r="Z121" s="244"/>
      <c r="AA121" s="318"/>
      <c r="AB121" s="244"/>
      <c r="AC121" s="318"/>
      <c r="AD121" s="244"/>
      <c r="AE121" s="318"/>
      <c r="AF121" s="244"/>
      <c r="AG121" s="318"/>
      <c r="AH121" s="244"/>
      <c r="AI121" s="318"/>
      <c r="AJ121" s="244"/>
    </row>
    <row r="122" spans="1:36">
      <c r="B122" s="724"/>
      <c r="C122" s="234">
        <v>45339</v>
      </c>
      <c r="D122" s="711" t="s">
        <v>641</v>
      </c>
      <c r="E122" s="262"/>
      <c r="N122" s="718"/>
      <c r="O122" s="205"/>
      <c r="Q122" s="318"/>
      <c r="R122" s="718"/>
      <c r="T122" s="718"/>
      <c r="U122" s="318"/>
      <c r="V122" s="244"/>
      <c r="W122" s="318"/>
      <c r="X122" s="244"/>
      <c r="Y122" s="318"/>
      <c r="Z122" s="244"/>
      <c r="AA122" s="318"/>
      <c r="AB122" s="244"/>
      <c r="AC122" s="318"/>
      <c r="AD122" s="244"/>
      <c r="AE122" s="318"/>
      <c r="AF122" s="244"/>
      <c r="AG122" s="318"/>
      <c r="AH122" s="244"/>
      <c r="AI122" s="318"/>
      <c r="AJ122" s="244"/>
    </row>
    <row r="123" spans="1:36">
      <c r="C123" s="234"/>
      <c r="H123" s="423">
        <f ca="1">SUM(H9:H136)</f>
        <v>4536046</v>
      </c>
      <c r="I123" s="746">
        <f ca="1">SUM(I9:I132)</f>
        <v>548884</v>
      </c>
      <c r="J123" s="425">
        <f ca="1">SUM(J9:J132)</f>
        <v>12299280</v>
      </c>
      <c r="K123" s="747">
        <f ca="1">SUM(K9:K139)</f>
        <v>768709</v>
      </c>
    </row>
    <row r="128" spans="1:36">
      <c r="A128" s="238"/>
      <c r="B128" s="238" t="s">
        <v>642</v>
      </c>
      <c r="C128" s="238"/>
    </row>
    <row r="129" spans="1:40">
      <c r="A129" s="19">
        <v>7</v>
      </c>
      <c r="B129" s="576" t="s">
        <v>109</v>
      </c>
      <c r="C129" s="234">
        <v>44712</v>
      </c>
      <c r="D129" s="717" t="s">
        <v>108</v>
      </c>
      <c r="E129" s="3">
        <v>200</v>
      </c>
      <c r="F129" s="3">
        <v>50</v>
      </c>
      <c r="G129" s="19">
        <v>9194587164</v>
      </c>
      <c r="H129" s="701">
        <v>360000</v>
      </c>
      <c r="I129" s="702">
        <f>O129+Q129</f>
        <v>5000</v>
      </c>
      <c r="J129" s="703">
        <f>H129-I129</f>
        <v>355000</v>
      </c>
      <c r="K129" s="704" t="s">
        <v>15</v>
      </c>
      <c r="L129" s="705">
        <v>5000</v>
      </c>
      <c r="M129" s="441" t="s">
        <v>425</v>
      </c>
      <c r="N129" s="718">
        <v>44712</v>
      </c>
      <c r="O129" s="205">
        <v>5000</v>
      </c>
      <c r="P129" s="748" t="s">
        <v>643</v>
      </c>
      <c r="Q129" s="691"/>
    </row>
    <row r="130" spans="1:40">
      <c r="A130" s="19">
        <v>7</v>
      </c>
      <c r="B130" s="147" t="s">
        <v>504</v>
      </c>
      <c r="C130" s="234">
        <v>44704</v>
      </c>
      <c r="D130" s="717" t="s">
        <v>563</v>
      </c>
      <c r="E130" s="3" t="s">
        <v>564</v>
      </c>
      <c r="F130" s="3">
        <v>53</v>
      </c>
      <c r="G130" s="19">
        <v>9639330523</v>
      </c>
      <c r="H130" s="701">
        <v>693852</v>
      </c>
      <c r="I130" s="702">
        <f>K130+O130</f>
        <v>8000</v>
      </c>
      <c r="J130" s="703">
        <f>H130-I130</f>
        <v>685852</v>
      </c>
      <c r="K130" s="704">
        <v>5000</v>
      </c>
      <c r="L130" s="705">
        <v>8941</v>
      </c>
      <c r="M130" s="441" t="s">
        <v>565</v>
      </c>
      <c r="N130" s="718">
        <v>44905</v>
      </c>
      <c r="O130" s="571">
        <v>3000</v>
      </c>
      <c r="P130" s="714" t="s">
        <v>566</v>
      </c>
      <c r="Q130" s="573">
        <v>3600</v>
      </c>
      <c r="R130" s="718">
        <v>44985</v>
      </c>
      <c r="S130" s="573">
        <v>3600</v>
      </c>
      <c r="T130" s="718">
        <v>45017</v>
      </c>
      <c r="U130" s="573">
        <v>3600</v>
      </c>
      <c r="V130" s="912" t="s">
        <v>644</v>
      </c>
      <c r="W130" s="909"/>
      <c r="X130" s="909"/>
      <c r="Y130" s="909"/>
    </row>
    <row r="131" spans="1:40">
      <c r="B131" s="3"/>
      <c r="C131" s="710" t="s">
        <v>645</v>
      </c>
      <c r="D131" s="717" t="s">
        <v>646</v>
      </c>
      <c r="E131" s="3" t="s">
        <v>564</v>
      </c>
      <c r="F131" s="3">
        <v>53</v>
      </c>
      <c r="G131" s="19">
        <v>9367475189</v>
      </c>
      <c r="H131" s="701">
        <v>200400</v>
      </c>
      <c r="I131" s="702">
        <v>18800</v>
      </c>
      <c r="J131" s="703">
        <f>H131-I131-O131-Q131</f>
        <v>170400</v>
      </c>
      <c r="L131" s="705">
        <v>3572</v>
      </c>
      <c r="M131" s="441" t="s">
        <v>425</v>
      </c>
      <c r="N131" s="718">
        <v>45077</v>
      </c>
      <c r="O131" s="205">
        <v>7200</v>
      </c>
      <c r="P131" s="720">
        <v>45202</v>
      </c>
      <c r="Q131" s="318">
        <v>4000</v>
      </c>
      <c r="R131" s="928" t="s">
        <v>647</v>
      </c>
      <c r="S131" s="911"/>
      <c r="T131" s="911"/>
      <c r="U131" s="318"/>
      <c r="W131" s="318"/>
      <c r="X131" s="244"/>
      <c r="Y131" s="318"/>
      <c r="Z131" s="244"/>
      <c r="AA131" s="318"/>
      <c r="AB131" s="244"/>
      <c r="AC131" s="318"/>
    </row>
    <row r="132" spans="1:40">
      <c r="A132" s="19">
        <v>7</v>
      </c>
      <c r="B132" s="716" t="s">
        <v>495</v>
      </c>
      <c r="C132" s="234" t="s">
        <v>496</v>
      </c>
      <c r="D132" s="717" t="s">
        <v>596</v>
      </c>
      <c r="E132" s="262">
        <v>200</v>
      </c>
      <c r="F132" s="3">
        <v>34</v>
      </c>
      <c r="G132" s="19">
        <v>9354340801</v>
      </c>
      <c r="H132" s="701">
        <v>283336</v>
      </c>
      <c r="J132" s="703">
        <f>H132-K132-O132-Q132-S132-U132-W132-Y132-AA132-AC132-AE132-AG132-AI132-AK132</f>
        <v>169236</v>
      </c>
      <c r="K132" s="738">
        <v>44100</v>
      </c>
      <c r="L132" s="705">
        <v>5278</v>
      </c>
      <c r="M132" s="441" t="s">
        <v>296</v>
      </c>
      <c r="N132" s="718">
        <v>44851</v>
      </c>
      <c r="O132" s="719">
        <v>5000</v>
      </c>
      <c r="P132" s="720">
        <v>44984</v>
      </c>
      <c r="Q132" s="313">
        <v>3000</v>
      </c>
      <c r="R132" s="718">
        <v>45077</v>
      </c>
      <c r="S132" s="314">
        <v>4000</v>
      </c>
      <c r="T132" s="718">
        <v>45146</v>
      </c>
      <c r="U132" s="313">
        <v>6000</v>
      </c>
      <c r="V132" s="244">
        <v>45345</v>
      </c>
      <c r="W132" s="313">
        <v>9000</v>
      </c>
      <c r="X132" s="244">
        <v>45432</v>
      </c>
      <c r="Y132" s="313">
        <v>7000</v>
      </c>
      <c r="Z132" s="244">
        <v>45472</v>
      </c>
      <c r="AA132" s="313">
        <v>4000</v>
      </c>
      <c r="AB132" s="244">
        <v>45517</v>
      </c>
      <c r="AC132" s="313">
        <v>7000</v>
      </c>
      <c r="AD132" s="244">
        <v>45660</v>
      </c>
      <c r="AE132" s="313">
        <v>5000</v>
      </c>
      <c r="AF132" s="244">
        <v>45701</v>
      </c>
      <c r="AG132" s="313">
        <v>10000</v>
      </c>
      <c r="AH132" s="244">
        <v>45741</v>
      </c>
      <c r="AI132" s="313">
        <v>5000</v>
      </c>
      <c r="AJ132" s="244">
        <v>45770</v>
      </c>
      <c r="AK132" s="313">
        <v>5000</v>
      </c>
      <c r="AL132" s="909" t="s">
        <v>663</v>
      </c>
      <c r="AM132" s="909"/>
      <c r="AN132" s="909"/>
    </row>
    <row r="134" spans="1:40">
      <c r="A134" s="925" t="s">
        <v>648</v>
      </c>
      <c r="B134" s="925"/>
      <c r="C134" s="925"/>
    </row>
    <row r="135" spans="1:40">
      <c r="A135" s="19">
        <v>3.5</v>
      </c>
      <c r="B135" s="561" t="s">
        <v>649</v>
      </c>
      <c r="C135" s="234">
        <v>44937</v>
      </c>
      <c r="D135" s="717" t="s">
        <v>650</v>
      </c>
      <c r="E135" s="3" t="s">
        <v>85</v>
      </c>
      <c r="F135" s="3">
        <v>36</v>
      </c>
      <c r="G135" s="19">
        <v>9168291673</v>
      </c>
      <c r="H135" s="701">
        <v>180000</v>
      </c>
      <c r="I135" s="702">
        <v>2500</v>
      </c>
      <c r="J135" s="703">
        <f>H135-I135</f>
        <v>177500</v>
      </c>
      <c r="M135" s="441" t="s">
        <v>651</v>
      </c>
      <c r="N135" s="718">
        <v>44970</v>
      </c>
      <c r="O135" s="205">
        <v>2500</v>
      </c>
    </row>
    <row r="136" spans="1:40">
      <c r="A136" s="19">
        <v>3.5</v>
      </c>
      <c r="B136" s="749" t="s">
        <v>649</v>
      </c>
      <c r="C136" s="234">
        <v>44970</v>
      </c>
      <c r="D136" s="717" t="s">
        <v>652</v>
      </c>
      <c r="E136" s="262" t="s">
        <v>85</v>
      </c>
      <c r="F136" s="3">
        <v>36</v>
      </c>
      <c r="H136" s="701">
        <v>180000</v>
      </c>
      <c r="I136" s="702">
        <v>2500</v>
      </c>
      <c r="J136" s="703">
        <f>H136-I136</f>
        <v>177500</v>
      </c>
      <c r="M136" s="441" t="s">
        <v>425</v>
      </c>
      <c r="N136" s="718"/>
      <c r="O136" s="205"/>
      <c r="Q136" s="318"/>
    </row>
    <row r="137" spans="1:40">
      <c r="A137" s="19">
        <v>3</v>
      </c>
      <c r="B137" s="750" t="s">
        <v>52</v>
      </c>
      <c r="C137" s="234" t="s">
        <v>653</v>
      </c>
      <c r="D137" s="717" t="s">
        <v>654</v>
      </c>
      <c r="E137" s="262">
        <v>100</v>
      </c>
      <c r="F137" s="3">
        <v>85</v>
      </c>
      <c r="G137" s="19">
        <v>9354829952</v>
      </c>
      <c r="H137" s="701">
        <v>99167</v>
      </c>
      <c r="I137" s="702">
        <v>48000</v>
      </c>
      <c r="J137" s="703">
        <f>H137-I137</f>
        <v>51167</v>
      </c>
      <c r="M137" s="441" t="s">
        <v>71</v>
      </c>
      <c r="N137" s="718"/>
      <c r="O137" s="205"/>
      <c r="P137" s="720"/>
      <c r="Q137" s="318"/>
      <c r="R137" s="718"/>
    </row>
    <row r="138" spans="1:40" s="795" customFormat="1">
      <c r="A138" s="781"/>
      <c r="B138" s="784"/>
      <c r="C138" s="783"/>
      <c r="D138" s="859"/>
      <c r="E138" s="784"/>
      <c r="F138" s="767"/>
      <c r="G138" s="781"/>
      <c r="H138" s="785"/>
      <c r="I138" s="786"/>
      <c r="J138" s="787"/>
      <c r="K138" s="788"/>
      <c r="L138" s="789"/>
      <c r="M138" s="790"/>
      <c r="N138" s="791"/>
      <c r="O138" s="792"/>
      <c r="P138" s="847"/>
      <c r="Q138" s="793"/>
      <c r="R138" s="791"/>
      <c r="S138" s="793"/>
      <c r="T138" s="860"/>
    </row>
    <row r="139" spans="1:40">
      <c r="A139" s="926"/>
      <c r="B139" s="926"/>
      <c r="C139" s="926"/>
    </row>
    <row r="141" spans="1:40">
      <c r="B141" s="925" t="s">
        <v>655</v>
      </c>
      <c r="C141" s="925"/>
    </row>
    <row r="142" spans="1:40">
      <c r="A142" s="19">
        <v>7</v>
      </c>
      <c r="B142" s="147" t="s">
        <v>504</v>
      </c>
      <c r="C142" s="234">
        <v>44702</v>
      </c>
      <c r="D142" s="717" t="s">
        <v>656</v>
      </c>
      <c r="E142" s="3" t="s">
        <v>657</v>
      </c>
      <c r="F142" s="3">
        <v>77</v>
      </c>
      <c r="G142" s="19">
        <v>9554753315</v>
      </c>
      <c r="H142" s="701">
        <v>180000</v>
      </c>
      <c r="I142" s="702">
        <f>O142+Q142</f>
        <v>0</v>
      </c>
      <c r="J142" s="703">
        <f>H142-I142</f>
        <v>180000</v>
      </c>
      <c r="K142" s="704" t="s">
        <v>15</v>
      </c>
      <c r="L142" s="705">
        <v>2500</v>
      </c>
      <c r="M142" s="441" t="s">
        <v>425</v>
      </c>
    </row>
    <row r="143" spans="1:40" ht="16.5" customHeight="1">
      <c r="A143" s="19">
        <v>7</v>
      </c>
      <c r="B143" s="147" t="s">
        <v>504</v>
      </c>
      <c r="C143" s="234">
        <v>44702</v>
      </c>
      <c r="D143" s="717" t="s">
        <v>658</v>
      </c>
      <c r="E143" s="3" t="s">
        <v>657</v>
      </c>
      <c r="F143" s="3">
        <v>77</v>
      </c>
      <c r="G143" s="19">
        <v>9984979145</v>
      </c>
      <c r="H143" s="701">
        <v>180000</v>
      </c>
      <c r="I143" s="702">
        <f>O143+Q143</f>
        <v>0</v>
      </c>
      <c r="J143" s="703">
        <f>H143-I143</f>
        <v>180000</v>
      </c>
      <c r="K143" s="704" t="s">
        <v>15</v>
      </c>
      <c r="L143" s="705">
        <v>2500</v>
      </c>
      <c r="M143" s="441" t="s">
        <v>425</v>
      </c>
    </row>
  </sheetData>
  <mergeCells count="7">
    <mergeCell ref="B141:C141"/>
    <mergeCell ref="AL132:AN132"/>
    <mergeCell ref="A139:C139"/>
    <mergeCell ref="N75:Q75"/>
    <mergeCell ref="V130:Y130"/>
    <mergeCell ref="R131:T131"/>
    <mergeCell ref="A134:C13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B1:K2"/>
  <sheetViews>
    <sheetView workbookViewId="0">
      <selection activeCell="N13" sqref="N13"/>
    </sheetView>
  </sheetViews>
  <sheetFormatPr defaultRowHeight="15"/>
  <cols>
    <col min="1" max="1" width="2.42578125" customWidth="1"/>
    <col min="2" max="2" width="12.28515625" style="889" customWidth="1"/>
    <col min="3" max="3" width="16.42578125" style="889" customWidth="1"/>
    <col min="4" max="4" width="42" style="379" customWidth="1"/>
    <col min="5" max="6" width="9.140625" style="889"/>
    <col min="7" max="7" width="13.140625" style="889" customWidth="1"/>
    <col min="8" max="9" width="9.140625" style="889"/>
    <col min="10" max="10" width="10.140625" style="428" customWidth="1"/>
  </cols>
  <sheetData>
    <row r="1" spans="2:11" s="708" customFormat="1">
      <c r="B1" s="892" t="s">
        <v>707</v>
      </c>
      <c r="C1" s="892" t="s">
        <v>4</v>
      </c>
      <c r="D1" s="891" t="s">
        <v>1</v>
      </c>
      <c r="E1" s="892" t="s">
        <v>3</v>
      </c>
      <c r="F1" s="892" t="s">
        <v>6</v>
      </c>
      <c r="G1" s="892" t="s">
        <v>708</v>
      </c>
      <c r="H1" s="892" t="s">
        <v>709</v>
      </c>
      <c r="I1" s="892" t="s">
        <v>9</v>
      </c>
      <c r="J1" s="893" t="s">
        <v>10</v>
      </c>
      <c r="K1" s="892" t="s">
        <v>710</v>
      </c>
    </row>
    <row r="2" spans="2:11">
      <c r="B2" s="234">
        <v>46226</v>
      </c>
      <c r="C2" s="889" t="s">
        <v>705</v>
      </c>
      <c r="D2" s="379" t="s">
        <v>706</v>
      </c>
      <c r="E2" s="889">
        <v>200</v>
      </c>
      <c r="G2" s="889">
        <v>9386597017</v>
      </c>
      <c r="H2" s="205">
        <v>236000</v>
      </c>
      <c r="I2" s="205">
        <v>30500</v>
      </c>
      <c r="J2" s="207">
        <f>H2-I2</f>
        <v>205500</v>
      </c>
      <c r="K2" t="s">
        <v>175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Buenaflor1</vt:lpstr>
      <vt:lpstr>Buenaflor2</vt:lpstr>
      <vt:lpstr>Buenaflor3</vt:lpstr>
      <vt:lpstr>Buenaflor 4</vt:lpstr>
      <vt:lpstr>Buenaflor 5</vt:lpstr>
      <vt:lpstr>Buenaflor 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 MARKETING</dc:creator>
  <cp:lastModifiedBy>GIGABYTE</cp:lastModifiedBy>
  <dcterms:created xsi:type="dcterms:W3CDTF">2025-04-28T01:16:44Z</dcterms:created>
  <dcterms:modified xsi:type="dcterms:W3CDTF">2026-09-05T06:40:28Z</dcterms:modified>
</cp:coreProperties>
</file>